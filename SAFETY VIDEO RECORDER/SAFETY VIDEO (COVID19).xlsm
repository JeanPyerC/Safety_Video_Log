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36416641e17ac59a/EXCEL/PERSONAL PROJECTS/SAFETY VIDEO RECORDER/"/>
    </mc:Choice>
  </mc:AlternateContent>
  <xr:revisionPtr revIDLastSave="212" documentId="8_{73890978-078B-44AB-85E8-AEB78EABB987}" xr6:coauthVersionLast="47" xr6:coauthVersionMax="47" xr10:uidLastSave="{F5233372-EB71-4D8C-897C-54A9E61AB452}"/>
  <bookViews>
    <workbookView xWindow="-110" yWindow="-110" windowWidth="38620" windowHeight="21100" xr2:uid="{00000000-000D-0000-FFFF-FFFF00000000}"/>
  </bookViews>
  <sheets>
    <sheet name="SAFETY VIDEO" sheetId="1" r:id="rId1"/>
    <sheet name="DATA RECORD" sheetId="2" r:id="rId2"/>
  </sheets>
  <definedNames>
    <definedName name="_xlnm._FilterDatabase" localSheetId="1" hidden="1">'DATA RECORD'!$G$2:$I$125</definedName>
    <definedName name="ROLE">'DATA RECORD'!#REF!</definedName>
    <definedName name="Z_10831558_F39E_46E5_A7C8_2D54D16C667E_.wvu.FilterData" localSheetId="1" hidden="1">'DATA RECORD'!$A$1:$D$1</definedName>
    <definedName name="Z_1374EB63_615D_4348_B087_7EEA761431C1_.wvu.FilterData" localSheetId="1" hidden="1">'DATA RECORD'!$A$1:$D$1</definedName>
    <definedName name="Z_19394946_6A4D_40F0_8132_56019E2CBF47_.wvu.FilterData" localSheetId="1" hidden="1">'DATA RECORD'!$A$1:$D$1</definedName>
    <definedName name="Z_3A39C826_7E9C_48AF_A8A0_D3A095607F67_.wvu.FilterData" localSheetId="1" hidden="1">'DATA RECORD'!$A$1:$D$1</definedName>
    <definedName name="Z_4A7C06BE_7E6A_44F5_B77B_242ED69A9134_.wvu.FilterData" localSheetId="1" hidden="1">'DATA RECORD'!$A$1:$C$88</definedName>
    <definedName name="Z_4B2B4EAF_DC8A_4EDB_85A2_6E268C25818A_.wvu.FilterData" localSheetId="1" hidden="1">'DATA RECORD'!$A$1:$D$1</definedName>
    <definedName name="Z_54247267_7166_4703_88DC_EE77135F4B24_.wvu.FilterData" localSheetId="1" hidden="1">'DATA RECORD'!$A$1:$D$1</definedName>
    <definedName name="Z_73AD7C60_27F8_4EDD_9CDE_F4986F1F3DF5_.wvu.FilterData" localSheetId="1" hidden="1">'DATA RECORD'!$A$1:$D$1</definedName>
    <definedName name="Z_76AE1ECF_EF55_4C45_BE7F_8C1F1C37D61D_.wvu.FilterData" localSheetId="1" hidden="1">'DATA RECORD'!$A$1:$D$1</definedName>
    <definedName name="Z_7D8BEEC5_4E70_4F4F_873D_28103A2E2FE0_.wvu.FilterData" localSheetId="1" hidden="1">'DATA RECORD'!$A$1:$D$98</definedName>
    <definedName name="Z_8A7D4B6B_F7A3_4247_9F47_923F87E74DC1_.wvu.FilterData" localSheetId="1" hidden="1">'DATA RECORD'!$A$1:$D$1</definedName>
    <definedName name="Z_8D8494A9_A845_41DF_958C_BBE2AFF72415_.wvu.FilterData" localSheetId="1" hidden="1">'DATA RECORD'!$A$1:$D$1</definedName>
    <definedName name="Z_8FFA260A_9485_490B_8306_C2FFC0D3DB95_.wvu.FilterData" localSheetId="1" hidden="1">'DATA RECORD'!$A$1:$D$1</definedName>
    <definedName name="Z_958A2E22_7DDF_4130_9036_6DE04B671E46_.wvu.FilterData" localSheetId="1" hidden="1">'DATA RECORD'!$A$1:$D$1</definedName>
    <definedName name="Z_9A5116E3_D829_4007_8956_520E4EC3D63C_.wvu.FilterData" localSheetId="1" hidden="1">'DATA RECORD'!$A$1:$D$1</definedName>
    <definedName name="Z_A1C6C3EF_2216_4716_94DB_14D23CC0785E_.wvu.FilterData" localSheetId="1" hidden="1">'DATA RECORD'!$A$1:$D$1</definedName>
    <definedName name="Z_B45F70C9_BDF3_40AB_B6D3_CDC9BD0FB4DC_.wvu.FilterData" localSheetId="1" hidden="1">'DATA RECORD'!$A$1:$D$1</definedName>
    <definedName name="Z_B8BD6BB3_543E_4DC7_90E3_08DC9C80C694_.wvu.FilterData" localSheetId="1" hidden="1">'DATA RECORD'!$A$1:$D$1</definedName>
    <definedName name="Z_BEAC0404_A0B0_402F_BC06_7BD08E9FC54D_.wvu.FilterData" localSheetId="1" hidden="1">'DATA RECORD'!$A$1:$D$1</definedName>
    <definedName name="Z_C199E203_52E1_47B1_9E01_E98E2F0440B2_.wvu.FilterData" localSheetId="1" hidden="1">'DATA RECORD'!$A$1:$D$1</definedName>
    <definedName name="Z_D11E8A94_7179_435B_8F57_2378E88EFDA3_.wvu.FilterData" localSheetId="1" hidden="1">'DATA RECORD'!$A$1:$D$1</definedName>
    <definedName name="Z_DC8FA18F_38EA_476F_AF24_786BA9C82C74_.wvu.FilterData" localSheetId="1" hidden="1">'DATA RECORD'!$A$1:$D$1</definedName>
    <definedName name="Z_E20C6574_2004_417C_93FD_7F6F3A7C1AD4_.wvu.FilterData" localSheetId="1" hidden="1">'DATA RECORD'!$A$1:$D$1</definedName>
    <definedName name="Z_F76F6C4A_CFD3_4162_959C_931E58DB91DD_.wvu.FilterData" localSheetId="1" hidden="1">'DATA RECORD'!$A$1:$D$1</definedName>
    <definedName name="Z_FA90666B_2A94_4CBC_9AD4_84BA7AC2F21D_.wvu.FilterData" localSheetId="1" hidden="1">'DATA RECORD'!$A$1:$D$1</definedName>
  </definedNames>
  <calcPr calcId="191029"/>
  <customWorkbookViews>
    <customWorkbookView name="Jean Cespedes - Personal View" guid="{7D8BEEC5-4E70-4F4F-873D-28103A2E2FE0}" mergeInterval="0" personalView="1" maximized="1" xWindow="-11" yWindow="-11" windowWidth="3862" windowHeight="2122" activeSheetId="1"/>
    <customWorkbookView name="Paul Daniele - Personal View" guid="{D11E8A94-7179-435B-8F57-2378E88EFDA3}" mergeInterval="0" personalView="1" maximized="1" xWindow="-8" yWindow="-8" windowWidth="1296" windowHeight="1000" activeSheetId="1"/>
    <customWorkbookView name="Meeting Room 1 - Personal View" guid="{4B2B4EAF-DC8A-4EDB-85A2-6E268C25818A}" mergeInterval="0" personalView="1" maximized="1" xWindow="-11" yWindow="-11" windowWidth="1942" windowHeight="1042" activeSheetId="1"/>
    <customWorkbookView name="ann-marie.w - Personal View" guid="{10831558-F39E-46E5-A7C8-2D54D16C667E}" mergeInterval="0" personalView="1" maximized="1" xWindow="1912" yWindow="-8" windowWidth="1936" windowHeight="1056" activeSheetId="1"/>
    <customWorkbookView name="John Cafarella - Personal View" guid="{A1C6C3EF-2216-4716-94DB-14D23CC0785E}" mergeInterval="0" personalView="1" maximized="1" xWindow="-11" yWindow="-11" windowWidth="1942" windowHeight="1042" activeSheetId="1"/>
    <customWorkbookView name="Patrick Napolitano - Personal View" guid="{4A7C06BE-7E6A-44F5-B77B-242ED69A9134}" mergeInterval="0" personalView="1" maximized="1" xWindow="-8" yWindow="-8" windowWidth="1696" windowHeight="1026" activeSheetId="1"/>
    <customWorkbookView name="jacob.L - Personal View" guid="{54247267-7166-4703-88DC-EE77135F4B24}" mergeInterval="0" personalView="1" maximized="1" xWindow="1912" yWindow="-8" windowWidth="1936" windowHeight="1056" activeSheetId="1"/>
    <customWorkbookView name="Joseph DiCamillo - Personal View" guid="{FA90666B-2A94-4CBC-9AD4-84BA7AC2F21D}" mergeInterval="0" personalView="1" maximized="1" xWindow="-8" yWindow="-8" windowWidth="1696" windowHeight="1026" activeSheetId="1"/>
    <customWorkbookView name="Diana Roberts - Personal View" guid="{B45F70C9-BDF3-40AB-B6D3-CDC9BD0FB4DC}" mergeInterval="0" personalView="1" xWindow="75" yWindow="135" windowWidth="1440" windowHeight="759" activeSheetId="1"/>
    <customWorkbookView name="Kaden Huesken - Personal View" guid="{8FFA260A-9485-490B-8306-C2FFC0D3DB95}" mergeInterval="0" personalView="1" maximized="1" xWindow="-8" yWindow="-8" windowWidth="1296" windowHeight="776" activeSheetId="1"/>
    <customWorkbookView name="Brittany Thomson - Personal View" guid="{BEAC0404-A0B0-402F-BC06-7BD08E9FC54D}" mergeInterval="0" personalView="1" maximized="1" xWindow="-8" yWindow="-8" windowWidth="1936" windowHeight="1056" activeSheetId="1"/>
    <customWorkbookView name="Monica Vargas - Personal View" guid="{9A5116E3-D829-4007-8956-520E4EC3D63C}" mergeInterval="0" personalView="1" maximized="1" xWindow="1358" yWindow="-312" windowWidth="1936" windowHeight="1056" activeSheetId="1"/>
    <customWorkbookView name="Katie Rossi - Personal View" guid="{3A39C826-7E9C-48AF-A8A0-D3A095607F67}" mergeInterval="0" personalView="1" maximized="1" xWindow="1912" yWindow="-8" windowWidth="1936" windowHeight="1056" activeSheetId="1"/>
    <customWorkbookView name="Richard Matarangelo - Personal View" guid="{DC8FA18F-38EA-476F-AF24-786BA9C82C74}" mergeInterval="0" personalView="1" maximized="1" xWindow="-8" yWindow="-8" windowWidth="1936" windowHeight="1176" activeSheetId="1"/>
    <customWorkbookView name="Tatyana Tsodikov - Personal View" guid="{BEA09B66-BAEF-400E-9AC3-203744784C7B}" mergeInterval="0" personalView="1" maximized="1" xWindow="-8" yWindow="-8" windowWidth="1696" windowHeight="1026" activeSheetId="1"/>
    <customWorkbookView name="Isaac Rizzo - Personal View" guid="{6DB4CCFC-8CC8-4A07-A983-FF12F2ADF582}" mergeInterval="0" personalView="1" maximized="1" xWindow="-8" yWindow="-8" windowWidth="1936" windowHeight="1056" activeSheetId="1"/>
    <customWorkbookView name="Natalia Kuyantseva - Personal View" guid="{D6E4985C-38F0-4B75-9A92-C4DF68FB8E13}" mergeInterval="0" personalView="1" maximized="1" xWindow="-9" yWindow="-9" windowWidth="1938" windowHeight="1048" activeSheetId="1"/>
    <customWorkbookView name="Meeting Room 2 - Personal View" guid="{5CB5182B-C8B4-423B-BB94-377D7D5F19F6}" mergeInterval="0" personalView="1" maximized="1" xWindow="-11" yWindow="-11" windowWidth="1942" windowHeight="1042" activeSheetId="1"/>
    <customWorkbookView name="Alexa Economides - Personal View" guid="{264391A9-7765-4AAF-B198-B3526599A2CE}" mergeInterval="0" personalView="1" maximized="1" xWindow="1912" yWindow="-8" windowWidth="1936" windowHeight="1056" activeSheetId="1"/>
    <customWorkbookView name="Natalya Shnayder - Personal View" guid="{517EC3FD-C3FB-43F6-9515-911AFCD30574}" mergeInterval="0" personalView="1" maximized="1" xWindow="1912" yWindow="-8" windowWidth="1936" windowHeight="1056" activeSheetId="1"/>
    <customWorkbookView name="Janet Martin - Personal View" guid="{7FB4D68A-9941-4C19-9960-215E27FDEEC1}" mergeInterval="0" personalView="1" maximized="1" xWindow="-8" yWindow="-8" windowWidth="1382" windowHeight="744" activeSheetId="1"/>
    <customWorkbookView name="Russell Frasciello - Personal View" guid="{A6E54CE6-AA70-4C46-817A-562A040C3E38}" mergeInterval="0" personalView="1" maximized="1" xWindow="1912" yWindow="-8" windowWidth="1936" windowHeight="1056" activeSheetId="1"/>
    <customWorkbookView name="Michael Jersey - Personal View" guid="{D7393E09-E6A1-4898-B812-3ADD0FC9B0F5}" mergeInterval="0" personalView="1" maximized="1" xWindow="1912" yWindow="-8" windowWidth="1936" windowHeight="1056" activeSheetId="1"/>
    <customWorkbookView name="Ashley Caban - Personal View" guid="{6A6A330F-D68A-4911-A0AE-D6A36FA62CF3}" mergeInterval="0" personalView="1" maximized="1" xWindow="-8" yWindow="-8" windowWidth="1382" windowHeight="744" activeSheetId="1"/>
    <customWorkbookView name="Marcie Bromberg - Personal View" guid="{D497015A-FBBB-461A-839D-F30470CDE388}" mergeInterval="0" personalView="1" maximized="1" xWindow="-1928" yWindow="-8" windowWidth="1936" windowHeight="1056" activeSheetId="1"/>
    <customWorkbookView name="Dylan Dobbin - Personal View" guid="{3BC1013F-5E26-423D-9031-DCB7997CAF6D}" mergeInterval="0" personalView="1" maximized="1" xWindow="-8" yWindow="-8" windowWidth="1936" windowHeight="1056" activeSheetId="1"/>
    <customWorkbookView name="Jacob Traut - Personal View" guid="{91995DC3-DDFE-486A-B625-A503A69007BB}" mergeInterval="0" personalView="1" maximized="1" xWindow="-8" yWindow="-8" windowWidth="1936" windowHeight="1056" activeSheetId="1"/>
    <customWorkbookView name="Alicia Morrell - Personal View" guid="{0BACE8FA-4427-44A5-995C-1A8BFA2FADFE}" mergeInterval="0" personalView="1" maximized="1" xWindow="-8" yWindow="-8" windowWidth="1936" windowHeight="1056" activeSheetId="1"/>
    <customWorkbookView name="Max Vuolle - Personal View" guid="{1C5F205E-A89D-4AE1-9C50-A72CC842B6F4}" mergeInterval="0" personalView="1" xWindow="182" yWindow="182" windowWidth="1440" windowHeight="759" activeSheetId="1"/>
    <customWorkbookView name="Shelby Jones - Personal View" guid="{0C159AD6-2DAA-4315-960C-ECA8D5119687}" mergeInterval="0" personalView="1" maximized="1" xWindow="-1608" yWindow="-137" windowWidth="1616" windowHeight="876" activeSheetId="1"/>
    <customWorkbookView name="Shelby Frasciello - Personal View" guid="{E66070B5-A73D-4433-B9AE-9B5FB4EEE9AF}" mergeInterval="0" personalView="1" maximized="1" xWindow="1912" yWindow="-11" windowWidth="1936" windowHeight="1056" activeSheetId="1"/>
    <customWorkbookView name="Breanna Brereton - Personal View" guid="{77172587-88C0-4E77-90D9-670809AACD33}" mergeInterval="0" personalView="1" maximized="1" xWindow="1912" yWindow="-145" windowWidth="1696" windowHeight="1026" activeSheetId="1"/>
    <customWorkbookView name="Jordan Walling - Personal View" guid="{C9D7BF9D-DA11-4C4F-B310-60E3791FDE59}" mergeInterval="0" personalView="1" maximized="1" xWindow="1912" yWindow="-8" windowWidth="1936" windowHeight="1056" activeSheetId="1"/>
    <customWorkbookView name="Peter Cooper - Personal View" guid="{64666709-18F8-438A-A45B-CBF9FA60AACC}" mergeInterval="0" personalView="1" maximized="1" xWindow="1912" yWindow="-8" windowWidth="1936" windowHeight="1056" activeSheetId="1"/>
    <customWorkbookView name="Racquel Yuscavage - Personal View" guid="{DC6196F2-6C7B-4FEC-8A78-24FD72DFE808}" mergeInterval="0" personalView="1" xWindow="-1600" yWindow="64" windowWidth="1331" windowHeight="904" activeSheetId="1"/>
    <customWorkbookView name="Kate Grebinskaya - Personal View" guid="{1D1559D7-CF7B-44C6-9537-CFA4DE28539F}" mergeInterval="0" personalView="1" maximized="1" xWindow="1912" yWindow="-8" windowWidth="1936" windowHeight="1056" activeSheetId="1"/>
    <customWorkbookView name="Ann Telfeian - Personal View" guid="{00B08691-36AD-423E-A5DA-81EDB2FC4B50}" mergeInterval="0" personalView="1" maximized="1" xWindow="1912" yWindow="-8" windowWidth="1936" windowHeight="1056" activeSheetId="1"/>
    <customWorkbookView name="andrew.admin - Personal View" guid="{2780BE28-0844-406E-A00A-803C3522678E}" mergeInterval="0" personalView="1" maximized="1" xWindow="-8" yWindow="-8" windowWidth="1456" windowHeight="876" activeSheetId="1"/>
    <customWorkbookView name="John McManus - Personal View" guid="{8AE5DC1D-6418-4E7E-9047-4387BCECBEA8}" mergeInterval="0" personalView="1" maximized="1" xWindow="-8" yWindow="-8" windowWidth="1936" windowHeight="1056" activeSheetId="1"/>
    <customWorkbookView name="Javier Alvarez - Personal View" guid="{FAE41C2C-8F5E-482D-A33B-233421D5EBE5}" mergeInterval="0" personalView="1" maximized="1" xWindow="-8" yWindow="-8" windowWidth="1696" windowHeight="1026" activeSheetId="1"/>
    <customWorkbookView name="Thomas Fela - Personal View" guid="{FD51856D-CE67-4387-B8D5-42611AFDA9B0}" mergeInterval="0" personalView="1" xWindow="380" yWindow="107" windowWidth="1440" windowHeight="759" activeSheetId="1"/>
    <customWorkbookView name="Amanda Schetelich - Personal View" guid="{CF7B7343-8A34-41AA-AFB0-7C5A81B6D93C}" mergeInterval="0" personalView="1" maximized="1" xWindow="-8" yWindow="-8" windowWidth="1936" windowHeight="1056" activeSheetId="1"/>
    <customWorkbookView name="Matthew Scisco - Personal View" guid="{61C04BB9-0063-4A28-A7A2-777D52B5EECB}" mergeInterval="0" personalView="1" maximized="1" xWindow="-8" yWindow="-8" windowWidth="1936" windowHeight="1056" activeSheetId="1"/>
    <customWorkbookView name="Stephanie Hix - Personal View" guid="{22AEA148-E8A5-40EF-8118-4B1A6BF2CF05}" mergeInterval="0" personalView="1" maximized="1" xWindow="-1928" yWindow="-124" windowWidth="1936" windowHeight="1056" activeSheetId="1"/>
    <customWorkbookView name="Debra Apuzzo - Personal View" guid="{A6A034B2-E4EE-44C3-9105-8CD3B92F7439}" mergeInterval="0" personalView="1" xWindow="1970" yWindow="137" windowWidth="1089" windowHeight="829" activeSheetId="1"/>
    <customWorkbookView name="Andres Albinagorta - Personal View" guid="{F26A0CC0-C3E5-4290-8FB8-33E4818FAFA9}" mergeInterval="0" personalView="1" maximized="1" xWindow="-8" yWindow="-8" windowWidth="1936" windowHeight="1056" activeSheetId="1"/>
    <customWorkbookView name="Taylor Moehring - Personal View" guid="{24B300B1-6A38-42E2-8023-0C89A4ED1C54}" mergeInterval="0" personalView="1" maximized="1" xWindow="-8" yWindow="-8" windowWidth="1936" windowHeight="1056" activeSheetId="1"/>
    <customWorkbookView name="Megan Wilson - Personal View" guid="{C50F172B-DE12-4016-8C3C-8DE68B0F5ED6}" mergeInterval="0" personalView="1" maximized="1" xWindow="-8" yWindow="-8" windowWidth="1456" windowHeight="876" activeSheetId="1"/>
    <customWorkbookView name="Marcella Schoner - Personal View" guid="{AA0C715F-89E0-4699-81F4-30981CCB8F32}" mergeInterval="0" personalView="1" xWindow="85" yWindow="84" windowWidth="1748" windowHeight="901" activeSheetId="1"/>
    <customWorkbookView name="CoralLinda Thrush - Personal View" guid="{9AD3C96E-4159-4B4E-BFBB-F2A50B674DB7}" mergeInterval="0" personalView="1" maximized="1" xWindow="1912" yWindow="-8" windowWidth="1936" windowHeight="1096" activeSheetId="1"/>
    <customWorkbookView name="Rebecca Dohn - Personal View" guid="{100C18DA-74BF-4919-BAFC-58F4A195D60D}" mergeInterval="0" personalView="1" maximized="1" xWindow="1358" yWindow="-8" windowWidth="1936" windowHeight="1056" activeSheetId="1"/>
    <customWorkbookView name="Anna Pittas - Personal View" guid="{73AD7C60-27F8-4EDD-9CDE-F4986F1F3DF5}" mergeInterval="0" personalView="1" xWindow="416" yWindow="416" windowWidth="2880" windowHeight="1557" activeSheetId="1"/>
    <customWorkbookView name="Peter Mortorana - Personal View" guid="{8D8494A9-A845-41DF-958C-BBE2AFF72415}" mergeInterval="0" personalView="1" maximized="1" xWindow="-11" yWindow="-11" windowWidth="2182" windowHeight="1402" activeSheetId="1"/>
    <customWorkbookView name="Stephanie Cronce - Personal View" guid="{F76F6C4A-CFD3-4162-959C-931E58DB91DD}" mergeInterval="0" personalView="1" maximized="1" xWindow="-8" yWindow="-8" windowWidth="1179" windowHeight="816" activeSheetId="1"/>
    <customWorkbookView name="Greg Valinoti - Personal View" guid="{76AE1ECF-EF55-4C45-BE7F-8C1F1C37D61D}" mergeInterval="0" personalView="1" maximized="1" xWindow="-9" yWindow="-9" windowWidth="1938" windowHeight="1048" activeSheetId="1"/>
    <customWorkbookView name="MondoPad - Personal View" guid="{958A2E22-7DDF-4130-9036-6DE04B671E46}" mergeInterval="0" personalView="1" maximized="1" xWindow="-11" yWindow="-11" windowWidth="1942" windowHeight="1042" activeSheetId="1"/>
    <customWorkbookView name="David Alkobi - Personal View" guid="{1374EB63-615D-4348-B087-7EEA761431C1}" mergeInterval="0" personalView="1" maximized="1" xWindow="1494" yWindow="-67" windowWidth="1874" windowHeight="1096" activeSheetId="1"/>
    <customWorkbookView name="Robert Manzie - Personal View" guid="{8A7D4B6B-F7A3-4247-9F47-923F87E74DC1}" mergeInterval="0" personalView="1" maximized="1" xWindow="-9" yWindow="-9" windowWidth="1938" windowHeight="1048" activeSheetId="1"/>
    <customWorkbookView name="Sylvia Darakjian - Personal View" guid="{E20C6574-2004-417C-93FD-7F6F3A7C1AD4}" mergeInterval="0" personalView="1" maximized="1" xWindow="1912" yWindow="-8" windowWidth="1936" windowHeight="1056" activeSheetId="1"/>
    <customWorkbookView name="Jamaila Harris - Personal View" guid="{C199E203-52E1-47B1-9E01-E98E2F0440B2}" mergeInterval="0" personalView="1" xWindow="-1537" yWindow="71" windowWidth="1883" windowHeight="782" activeSheetId="1"/>
    <customWorkbookView name="Gina Hidalgo - Personal View" guid="{19394946-6A4D-40F0-8132-56019E2CBF47}" mergeInterval="0" personalView="1" windowWidth="1382" windowHeight="784" activeSheetId="1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" i="2" l="1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2" i="2"/>
  <c r="M3" i="2"/>
  <c r="N3" i="2"/>
  <c r="N7" i="2"/>
  <c r="M4" i="2"/>
  <c r="M5" i="2"/>
  <c r="M6" i="2"/>
  <c r="M7" i="2"/>
  <c r="M8" i="2"/>
  <c r="M9" i="2"/>
  <c r="M10" i="2"/>
  <c r="N4" i="2" s="1"/>
  <c r="M11" i="2"/>
  <c r="M12" i="2"/>
  <c r="M13" i="2"/>
  <c r="M14" i="2"/>
  <c r="M15" i="2"/>
  <c r="M16" i="2"/>
  <c r="I4" i="2" l="1"/>
  <c r="I5" i="2"/>
  <c r="I103" i="2"/>
  <c r="I79" i="2"/>
  <c r="I63" i="2"/>
  <c r="I55" i="2"/>
  <c r="I47" i="2"/>
  <c r="I31" i="2"/>
  <c r="I110" i="2"/>
  <c r="I70" i="2"/>
  <c r="I125" i="2"/>
  <c r="I101" i="2"/>
  <c r="I123" i="2"/>
  <c r="I115" i="2"/>
  <c r="I107" i="2"/>
  <c r="I99" i="2"/>
  <c r="I91" i="2"/>
  <c r="I83" i="2"/>
  <c r="I75" i="2"/>
  <c r="I67" i="2"/>
  <c r="I59" i="2"/>
  <c r="I51" i="2"/>
  <c r="I43" i="2"/>
  <c r="I35" i="2"/>
  <c r="I27" i="2"/>
  <c r="I19" i="2"/>
  <c r="I11" i="2"/>
  <c r="I3" i="2"/>
  <c r="I122" i="2"/>
  <c r="I114" i="2"/>
  <c r="I106" i="2"/>
  <c r="I98" i="2"/>
  <c r="I90" i="2"/>
  <c r="I82" i="2"/>
  <c r="I74" i="2"/>
  <c r="I66" i="2"/>
  <c r="I58" i="2"/>
  <c r="I50" i="2"/>
  <c r="I42" i="2"/>
  <c r="I34" i="2"/>
  <c r="I26" i="2"/>
  <c r="I18" i="2"/>
  <c r="I10" i="2"/>
  <c r="I119" i="2"/>
  <c r="I95" i="2"/>
  <c r="I71" i="2"/>
  <c r="I39" i="2"/>
  <c r="I118" i="2"/>
  <c r="I85" i="2"/>
  <c r="I87" i="2"/>
  <c r="I121" i="2"/>
  <c r="I113" i="2"/>
  <c r="I105" i="2"/>
  <c r="I97" i="2"/>
  <c r="I89" i="2"/>
  <c r="I81" i="2"/>
  <c r="I73" i="2"/>
  <c r="I65" i="2"/>
  <c r="I57" i="2"/>
  <c r="I49" i="2"/>
  <c r="I41" i="2"/>
  <c r="I33" i="2"/>
  <c r="I25" i="2"/>
  <c r="I17" i="2"/>
  <c r="I9" i="2"/>
  <c r="I120" i="2"/>
  <c r="I112" i="2"/>
  <c r="I104" i="2"/>
  <c r="I96" i="2"/>
  <c r="I88" i="2"/>
  <c r="I80" i="2"/>
  <c r="I72" i="2"/>
  <c r="I64" i="2"/>
  <c r="I56" i="2"/>
  <c r="I48" i="2"/>
  <c r="I40" i="2"/>
  <c r="I32" i="2"/>
  <c r="I24" i="2"/>
  <c r="I16" i="2"/>
  <c r="I8" i="2"/>
  <c r="I23" i="2"/>
  <c r="I15" i="2"/>
  <c r="I7" i="2"/>
  <c r="I94" i="2"/>
  <c r="I78" i="2"/>
  <c r="I54" i="2"/>
  <c r="I38" i="2"/>
  <c r="I22" i="2"/>
  <c r="I6" i="2"/>
  <c r="I111" i="2"/>
  <c r="I102" i="2"/>
  <c r="I86" i="2"/>
  <c r="I62" i="2"/>
  <c r="I46" i="2"/>
  <c r="I30" i="2"/>
  <c r="I14" i="2"/>
  <c r="I117" i="2"/>
  <c r="I109" i="2"/>
  <c r="I93" i="2"/>
  <c r="I77" i="2"/>
  <c r="I69" i="2"/>
  <c r="I61" i="2"/>
  <c r="I53" i="2"/>
  <c r="I45" i="2"/>
  <c r="I37" i="2"/>
  <c r="I29" i="2"/>
  <c r="I21" i="2"/>
  <c r="I13" i="2"/>
  <c r="I124" i="2"/>
  <c r="I116" i="2"/>
  <c r="I108" i="2"/>
  <c r="I100" i="2"/>
  <c r="I92" i="2"/>
  <c r="I84" i="2"/>
  <c r="I76" i="2"/>
  <c r="I68" i="2"/>
  <c r="I60" i="2"/>
  <c r="I52" i="2"/>
  <c r="I44" i="2"/>
  <c r="I36" i="2"/>
  <c r="I28" i="2"/>
  <c r="I20" i="2"/>
  <c r="I12" i="2"/>
  <c r="N11" i="2"/>
  <c r="O11" i="2" s="1"/>
  <c r="N10" i="2"/>
  <c r="O10" i="2" s="1"/>
  <c r="O3" i="2"/>
  <c r="N9" i="2"/>
  <c r="O9" i="2" s="1"/>
  <c r="N8" i="2"/>
  <c r="O8" i="2" s="1"/>
  <c r="N14" i="2"/>
  <c r="O14" i="2" s="1"/>
  <c r="N16" i="2"/>
  <c r="O16" i="2" s="1"/>
  <c r="N15" i="2"/>
  <c r="O15" i="2" s="1"/>
  <c r="N6" i="2"/>
  <c r="O6" i="2" s="1"/>
  <c r="N13" i="2"/>
  <c r="O13" i="2" s="1"/>
  <c r="N5" i="2"/>
  <c r="O5" i="2" s="1"/>
  <c r="N12" i="2"/>
  <c r="O12" i="2" s="1"/>
  <c r="O7" i="2"/>
  <c r="O4" i="2"/>
</calcChain>
</file>

<file path=xl/sharedStrings.xml><?xml version="1.0" encoding="utf-8"?>
<sst xmlns="http://schemas.openxmlformats.org/spreadsheetml/2006/main" count="453" uniqueCount="260">
  <si>
    <t>FIRST NAME</t>
  </si>
  <si>
    <t>LAST NAME</t>
  </si>
  <si>
    <t>DEPARTMENT</t>
  </si>
  <si>
    <t>DEPARTMENTS</t>
  </si>
  <si>
    <t>Maintenance</t>
  </si>
  <si>
    <t>Customer Service</t>
  </si>
  <si>
    <t>Purchasing</t>
  </si>
  <si>
    <t>Marketing</t>
  </si>
  <si>
    <t># of Employess</t>
  </si>
  <si>
    <t># Completed</t>
  </si>
  <si>
    <t>Bookkeeping</t>
  </si>
  <si>
    <t>Tsodikov, Tatyana</t>
  </si>
  <si>
    <t>Human Resources</t>
  </si>
  <si>
    <t>Tadros, Samera</t>
  </si>
  <si>
    <t>Wilson, Megan</t>
  </si>
  <si>
    <t>Zabran, Aleksandr</t>
  </si>
  <si>
    <t>eCommerce</t>
  </si>
  <si>
    <t>Sosa, Ariana</t>
  </si>
  <si>
    <t>Passione, Dominick</t>
  </si>
  <si>
    <t>O'Halloran, Davin</t>
  </si>
  <si>
    <t xml:space="preserve">NAME </t>
  </si>
  <si>
    <t>Data List</t>
  </si>
  <si>
    <t>FULL NAME</t>
  </si>
  <si>
    <t>Report</t>
  </si>
  <si>
    <t>Check List</t>
  </si>
  <si>
    <t>Operations</t>
  </si>
  <si>
    <t>Sample Department</t>
  </si>
  <si>
    <t>Bubble Department</t>
  </si>
  <si>
    <t>Foam Department</t>
  </si>
  <si>
    <t>Sales Wholesale</t>
  </si>
  <si>
    <t>Freight Department</t>
  </si>
  <si>
    <t>Officer Ceo</t>
  </si>
  <si>
    <t>Merola, Megan</t>
  </si>
  <si>
    <t>Mlot, Chris John</t>
  </si>
  <si>
    <t>Moehring, Taylor</t>
  </si>
  <si>
    <t>Morrell, Alicia</t>
  </si>
  <si>
    <t>Napolitano, Patrick</t>
  </si>
  <si>
    <t>Parisi, Joseph</t>
  </si>
  <si>
    <t>Pierce, Eric</t>
  </si>
  <si>
    <t>Popper, Lawrence</t>
  </si>
  <si>
    <t>Sandhu, Sukhkaran</t>
  </si>
  <si>
    <t>Schetelich, Amanda Marie</t>
  </si>
  <si>
    <t>Scisco, Matthew</t>
  </si>
  <si>
    <t>Shnayder, Natalya</t>
  </si>
  <si>
    <t>Sto Domingo, Anthony</t>
  </si>
  <si>
    <t>Telfeian, Ann Mary</t>
  </si>
  <si>
    <t>Thomson, Brittany</t>
  </si>
  <si>
    <t>Thrush, CoralLinda</t>
  </si>
  <si>
    <t>Traut, Jacob Henry</t>
  </si>
  <si>
    <t>Valinoti, Greg</t>
  </si>
  <si>
    <t>Vicari, Ronald</t>
  </si>
  <si>
    <t>Vuolle, Maxim Johan</t>
  </si>
  <si>
    <t>Walling, Jordan</t>
  </si>
  <si>
    <t>Whelan, John</t>
  </si>
  <si>
    <t>Whitaker, Ann Marie</t>
  </si>
  <si>
    <t>Young, Leslie K</t>
  </si>
  <si>
    <t>Chris</t>
  </si>
  <si>
    <t>Employees List</t>
  </si>
  <si>
    <t>Yuscavage, Racquel</t>
  </si>
  <si>
    <t>Vaughan, Thomas</t>
  </si>
  <si>
    <t>Vargas, Monica</t>
  </si>
  <si>
    <t>Tsodikov, Matthew</t>
  </si>
  <si>
    <t>Schoner, Marcella</t>
  </si>
  <si>
    <t>Schnorrbusch, Dylan</t>
  </si>
  <si>
    <t>Rotondo, Christopher</t>
  </si>
  <si>
    <t>Rossi, Kathryn</t>
  </si>
  <si>
    <t>Roberts, Diana</t>
  </si>
  <si>
    <t>Rizzo, Isaac</t>
  </si>
  <si>
    <t>Rivera, Mark</t>
  </si>
  <si>
    <t>Richardson, Anthony</t>
  </si>
  <si>
    <t>Pittas, Anna</t>
  </si>
  <si>
    <t>Picard, Madeline</t>
  </si>
  <si>
    <t>Pepin, Sarah</t>
  </si>
  <si>
    <t>Papas, Dylan</t>
  </si>
  <si>
    <t>Darakjian, Sylvia</t>
  </si>
  <si>
    <t>Oksienik, Brianna</t>
  </si>
  <si>
    <t>Merola, Lisa</t>
  </si>
  <si>
    <t>Paddy O’Furniture</t>
  </si>
  <si>
    <t>Olive Yew</t>
  </si>
  <si>
    <t>Aida Bugg</t>
  </si>
  <si>
    <t>Maureen Biologist</t>
  </si>
  <si>
    <t>Teri Dactyl</t>
  </si>
  <si>
    <t>Peg Legge</t>
  </si>
  <si>
    <t>Allie Grater</t>
  </si>
  <si>
    <t>Liz Erd</t>
  </si>
  <si>
    <t>A. Mused</t>
  </si>
  <si>
    <t>Constance Noring</t>
  </si>
  <si>
    <t>Lois Di Nominator</t>
  </si>
  <si>
    <t>Minnie Van Ryder</t>
  </si>
  <si>
    <t>Lynn O’Leeum</t>
  </si>
  <si>
    <t>P. Ann O’Recital</t>
  </si>
  <si>
    <t>Ray O’Sun</t>
  </si>
  <si>
    <t>Lee A. Sun</t>
  </si>
  <si>
    <t>Ray Sin</t>
  </si>
  <si>
    <t>Isabelle Ringing</t>
  </si>
  <si>
    <t>Eileen Sideways</t>
  </si>
  <si>
    <t>Rita Book</t>
  </si>
  <si>
    <t>Paige Turner</t>
  </si>
  <si>
    <t>Rhoda Report</t>
  </si>
  <si>
    <t>Augusta Wind</t>
  </si>
  <si>
    <t>Chris Anthemum</t>
  </si>
  <si>
    <t>Anne Teak</t>
  </si>
  <si>
    <t>U.R. Nice</t>
  </si>
  <si>
    <t>Anita Bath</t>
  </si>
  <si>
    <t>Harriet Upp</t>
  </si>
  <si>
    <t>I.M. Tired</t>
  </si>
  <si>
    <t>I. Missy Ewe</t>
  </si>
  <si>
    <t>Ivana B. Withew</t>
  </si>
  <si>
    <t>Anita Letterback</t>
  </si>
  <si>
    <t>Hope Furaletter</t>
  </si>
  <si>
    <t>B. Homesoon</t>
  </si>
  <si>
    <t>Bea Mine</t>
  </si>
  <si>
    <t>Bess Twishes</t>
  </si>
  <si>
    <t>C. Yasoon</t>
  </si>
  <si>
    <t>Audie Yose</t>
  </si>
  <si>
    <t>Dee End</t>
  </si>
  <si>
    <t>Amanda Hug</t>
  </si>
  <si>
    <t>Ben Dover</t>
  </si>
  <si>
    <t>Eileen Dover</t>
  </si>
  <si>
    <t>Willie Makit</t>
  </si>
  <si>
    <t>Willie Findit</t>
  </si>
  <si>
    <t>Skye Blue</t>
  </si>
  <si>
    <t>Staum Clowd</t>
  </si>
  <si>
    <t>Addie Minstra</t>
  </si>
  <si>
    <t>Anne Ortha</t>
  </si>
  <si>
    <t>Dave Allippa</t>
  </si>
  <si>
    <t>Dee Zynah</t>
  </si>
  <si>
    <t>Hugh Mannerizorsa</t>
  </si>
  <si>
    <t>Loco Lyzayta</t>
  </si>
  <si>
    <t>Manny Jah</t>
  </si>
  <si>
    <t>Mark Ateer</t>
  </si>
  <si>
    <t>Reeve Ewer</t>
  </si>
  <si>
    <t>Tex Ryta</t>
  </si>
  <si>
    <t>Theresa Green</t>
  </si>
  <si>
    <t>Barry Kade</t>
  </si>
  <si>
    <t>Stan Dupp</t>
  </si>
  <si>
    <t>Neil Down</t>
  </si>
  <si>
    <t>Con Trariweis</t>
  </si>
  <si>
    <t>Don Messwidme</t>
  </si>
  <si>
    <t>Al Annon</t>
  </si>
  <si>
    <t>Anna Domino</t>
  </si>
  <si>
    <t>Clyde Stale</t>
  </si>
  <si>
    <t>Anna Logwatch</t>
  </si>
  <si>
    <t>Anna Littlical</t>
  </si>
  <si>
    <t>Norma Leigh Absent</t>
  </si>
  <si>
    <t>Sly Meebuggah</t>
  </si>
  <si>
    <t>Saul Goodmate</t>
  </si>
  <si>
    <t>Faye Clether</t>
  </si>
  <si>
    <t>Sarah Moanees</t>
  </si>
  <si>
    <t>Fatty O’Furniture</t>
  </si>
  <si>
    <t>Fatty</t>
  </si>
  <si>
    <t>O’Furniture</t>
  </si>
  <si>
    <t>Paddy</t>
  </si>
  <si>
    <t>Olive</t>
  </si>
  <si>
    <t>Yew</t>
  </si>
  <si>
    <t>Aida</t>
  </si>
  <si>
    <t>Bugg</t>
  </si>
  <si>
    <t>Maureen</t>
  </si>
  <si>
    <t>Biologist</t>
  </si>
  <si>
    <t>Teri</t>
  </si>
  <si>
    <t>Dactyl</t>
  </si>
  <si>
    <t>Peg</t>
  </si>
  <si>
    <t>Legge</t>
  </si>
  <si>
    <t>Allie</t>
  </si>
  <si>
    <t>Grater</t>
  </si>
  <si>
    <t>Liz</t>
  </si>
  <si>
    <t>Erd</t>
  </si>
  <si>
    <t>A.</t>
  </si>
  <si>
    <t>Mused</t>
  </si>
  <si>
    <t>Constance</t>
  </si>
  <si>
    <t>Noring</t>
  </si>
  <si>
    <t>Lois</t>
  </si>
  <si>
    <t>Di Nominator</t>
  </si>
  <si>
    <t>Minnie</t>
  </si>
  <si>
    <t>Van Ryder</t>
  </si>
  <si>
    <t>Lynn</t>
  </si>
  <si>
    <t>O’Leeum</t>
  </si>
  <si>
    <t>P.</t>
  </si>
  <si>
    <t>Ann O’Recital</t>
  </si>
  <si>
    <t>Ray</t>
  </si>
  <si>
    <t>O’Sun</t>
  </si>
  <si>
    <t>Lee</t>
  </si>
  <si>
    <t>A. Sun</t>
  </si>
  <si>
    <t>Sin</t>
  </si>
  <si>
    <t>Isabelle</t>
  </si>
  <si>
    <t>Ringing</t>
  </si>
  <si>
    <t>Eileen</t>
  </si>
  <si>
    <t>Sideways</t>
  </si>
  <si>
    <t>Rita</t>
  </si>
  <si>
    <t>Book</t>
  </si>
  <si>
    <t>Paige</t>
  </si>
  <si>
    <t>Turner</t>
  </si>
  <si>
    <t>Rhoda</t>
  </si>
  <si>
    <t>Augusta</t>
  </si>
  <si>
    <t>Wind</t>
  </si>
  <si>
    <t>Anthemum</t>
  </si>
  <si>
    <t>Anne</t>
  </si>
  <si>
    <t>Teak</t>
  </si>
  <si>
    <t>U.R.</t>
  </si>
  <si>
    <t>Nice</t>
  </si>
  <si>
    <t>Anita</t>
  </si>
  <si>
    <t>Bath</t>
  </si>
  <si>
    <t>Harriet</t>
  </si>
  <si>
    <t>Upp</t>
  </si>
  <si>
    <t>I.M.</t>
  </si>
  <si>
    <t>Tired</t>
  </si>
  <si>
    <t>I.</t>
  </si>
  <si>
    <t>Missy Ewe</t>
  </si>
  <si>
    <t>Ivana</t>
  </si>
  <si>
    <t>B. Withew</t>
  </si>
  <si>
    <t>Letterback</t>
  </si>
  <si>
    <t>Hope</t>
  </si>
  <si>
    <t>Furaletter</t>
  </si>
  <si>
    <t>B.</t>
  </si>
  <si>
    <t>Homesoon</t>
  </si>
  <si>
    <t>Bea</t>
  </si>
  <si>
    <t>Mine</t>
  </si>
  <si>
    <t>Bess</t>
  </si>
  <si>
    <t>Twishes</t>
  </si>
  <si>
    <t>C.</t>
  </si>
  <si>
    <t>Yasoon</t>
  </si>
  <si>
    <t>Audie</t>
  </si>
  <si>
    <t>Yose</t>
  </si>
  <si>
    <t>Dee</t>
  </si>
  <si>
    <t>End</t>
  </si>
  <si>
    <t>Amanda</t>
  </si>
  <si>
    <t>Hug</t>
  </si>
  <si>
    <t>Ben</t>
  </si>
  <si>
    <t>Dover</t>
  </si>
  <si>
    <t>Willie</t>
  </si>
  <si>
    <t>Makit</t>
  </si>
  <si>
    <t>Findit</t>
  </si>
  <si>
    <t>Skye</t>
  </si>
  <si>
    <t>Blue</t>
  </si>
  <si>
    <t>Staum</t>
  </si>
  <si>
    <t>Clowd</t>
  </si>
  <si>
    <t>Addie</t>
  </si>
  <si>
    <t>Minstra</t>
  </si>
  <si>
    <t>Ortha</t>
  </si>
  <si>
    <t>Dave</t>
  </si>
  <si>
    <t>Allippa</t>
  </si>
  <si>
    <t>Zynah</t>
  </si>
  <si>
    <t>Hugh</t>
  </si>
  <si>
    <t>Mannerizorsa</t>
  </si>
  <si>
    <t>Loco</t>
  </si>
  <si>
    <t>Lyzayta</t>
  </si>
  <si>
    <t>Manny</t>
  </si>
  <si>
    <t>Jah</t>
  </si>
  <si>
    <t>Mark</t>
  </si>
  <si>
    <t>Ateer</t>
  </si>
  <si>
    <t>Reeve</t>
  </si>
  <si>
    <t>Ewer</t>
  </si>
  <si>
    <t>Tex</t>
  </si>
  <si>
    <t>Ryta</t>
  </si>
  <si>
    <t>Theresa</t>
  </si>
  <si>
    <t>Green</t>
  </si>
  <si>
    <t>Barry</t>
  </si>
  <si>
    <t>Kade</t>
  </si>
  <si>
    <t>Stan</t>
  </si>
  <si>
    <t>Dupp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</si>
</sst>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4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12">
    <xf numFmtId="0" fontId="0" fillId="0" borderId="0" xfId="0"/>
    <xf numFmtId="0" fontId="0" fillId="0" borderId="0" xfId="0"/>
    <xf numFmtId="0" fontId="4" fillId="2" borderId="1" xfId="0" applyFont="1" applyFill="1" applyBorder="1"/>
    <xf numFmtId="0" fontId="4" fillId="2" borderId="2" xfId="0" applyFont="1" applyFill="1" applyBorder="1"/>
    <xf numFmtId="0" fontId="4" fillId="2" borderId="3" xfId="0" applyFont="1" applyFill="1" applyBorder="1"/>
    <xf numFmtId="0" fontId="3" fillId="4" borderId="0" xfId="0" applyFont="1" applyFill="1"/>
    <xf numFmtId="0" fontId="0" fillId="5" borderId="0" xfId="0" applyFill="1"/>
    <xf numFmtId="0" fontId="3" fillId="3" borderId="0" xfId="0" applyFont="1" applyFill="1" applyAlignment="1">
      <alignment horizontal="center"/>
    </xf>
    <xf numFmtId="0" fontId="0" fillId="6" borderId="0" xfId="0" applyFill="1"/>
    <xf numFmtId="9" fontId="0" fillId="6" borderId="0" xfId="1" applyFont="1" applyFill="1"/>
    <xf numFmtId="0" fontId="3" fillId="7" borderId="0" xfId="0" applyFont="1" applyFill="1" applyAlignment="1">
      <alignment horizontal="center"/>
    </xf>
    <xf numFmtId="0" fontId="3" fillId="7" borderId="0" xfId="0" applyFont="1" applyFill="1" applyAlignment="1">
      <alignment horizontal="center"/>
    </xf>
  </cellXfs>
  <cellStyles count="2">
    <cellStyle name="Normal" xfId="0" builtinId="0"/>
    <cellStyle name="Percent" xfId="1" builtinId="5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D5A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jpeg"/><Relationship Id="rId3" Type="http://schemas.openxmlformats.org/officeDocument/2006/relationships/image" Target="../media/image3.png"/><Relationship Id="rId7" Type="http://schemas.openxmlformats.org/officeDocument/2006/relationships/image" Target="../media/image7.sv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5" Type="http://schemas.openxmlformats.org/officeDocument/2006/relationships/image" Target="../media/image5.svg"/><Relationship Id="rId10" Type="http://schemas.openxmlformats.org/officeDocument/2006/relationships/image" Target="../media/image10.jpeg"/><Relationship Id="rId4" Type="http://schemas.openxmlformats.org/officeDocument/2006/relationships/image" Target="../media/image4.png"/><Relationship Id="rId9" Type="http://schemas.openxmlformats.org/officeDocument/2006/relationships/image" Target="../media/image9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345756</xdr:colOff>
      <xdr:row>0</xdr:row>
      <xdr:rowOff>0</xdr:rowOff>
    </xdr:from>
    <xdr:to>
      <xdr:col>19</xdr:col>
      <xdr:colOff>545626</xdr:colOff>
      <xdr:row>15</xdr:row>
      <xdr:rowOff>54612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8880156" y="0"/>
          <a:ext cx="3247870" cy="2816862"/>
          <a:chOff x="8210550" y="0"/>
          <a:chExt cx="3187700" cy="2857500"/>
        </a:xfrm>
      </xdr:grpSpPr>
      <xdr:pic>
        <xdr:nvPicPr>
          <xdr:cNvPr id="23" name="Picture 22" descr="Heavy duty mobile crane in cartoon style. Vector illustration of heavy duty  mobile crane in cartoon style. | CanStock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9556"/>
          <a:stretch/>
        </xdr:blipFill>
        <xdr:spPr bwMode="auto">
          <a:xfrm>
            <a:off x="8896350" y="0"/>
            <a:ext cx="1714500" cy="17399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20" name="Group 19">
            <a:extLst>
              <a:ext uri="{FF2B5EF4-FFF2-40B4-BE49-F238E27FC236}">
                <a16:creationId xmlns:a16="http://schemas.microsoft.com/office/drawing/2014/main" id="{00000000-0008-0000-0000-000014000000}"/>
              </a:ext>
            </a:extLst>
          </xdr:cNvPr>
          <xdr:cNvGrpSpPr/>
        </xdr:nvGrpSpPr>
        <xdr:grpSpPr>
          <a:xfrm>
            <a:off x="8210550" y="1701800"/>
            <a:ext cx="3187700" cy="1155700"/>
            <a:chOff x="8356600" y="920750"/>
            <a:chExt cx="3187700" cy="1111250"/>
          </a:xfrm>
        </xdr:grpSpPr>
        <xdr:sp macro="" textlink="">
          <xdr:nvSpPr>
            <xdr:cNvPr id="19" name="Rectangle 18">
              <a:extLst>
                <a:ext uri="{FF2B5EF4-FFF2-40B4-BE49-F238E27FC236}">
                  <a16:creationId xmlns:a16="http://schemas.microsoft.com/office/drawing/2014/main" id="{00000000-0008-0000-0000-000013000000}"/>
                </a:ext>
              </a:extLst>
            </xdr:cNvPr>
            <xdr:cNvSpPr/>
          </xdr:nvSpPr>
          <xdr:spPr>
            <a:xfrm>
              <a:off x="8356600" y="920750"/>
              <a:ext cx="3187700" cy="1111250"/>
            </a:xfrm>
            <a:prstGeom prst="rect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3073" name="Button 1" hidden="1">
                  <a:extLst>
                    <a:ext uri="{63B3BB69-23CF-44E3-9099-C40C66FF867C}">
                      <a14:compatExt spid="_x0000_s3073"/>
                    </a:ext>
                    <a:ext uri="{FF2B5EF4-FFF2-40B4-BE49-F238E27FC236}">
                      <a16:creationId xmlns:a16="http://schemas.microsoft.com/office/drawing/2014/main" id="{00000000-0008-0000-0000-0000010C0000}"/>
                    </a:ext>
                  </a:extLst>
                </xdr:cNvPr>
                <xdr:cNvSpPr/>
              </xdr:nvSpPr>
              <xdr:spPr bwMode="auto">
                <a:xfrm>
                  <a:off x="8570245" y="1023822"/>
                  <a:ext cx="2774693" cy="901701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36576" tIns="36576" rIns="36576" bIns="36576" anchor="ctr" upright="1"/>
                <a:lstStyle/>
                <a:p>
                  <a:pPr algn="ctr" rtl="0">
                    <a:defRPr sz="1000"/>
                  </a:pPr>
                  <a:r>
                    <a:rPr lang="en-US" sz="1100" b="0" i="0" u="none" strike="noStrike" baseline="0">
                      <a:solidFill>
                        <a:srgbClr val="000000"/>
                      </a:solidFill>
                      <a:latin typeface="Calibri"/>
                      <a:cs typeface="Calibri"/>
                    </a:rPr>
                    <a:t>CLICK HERE TO BEGIN THE VIDEO! </a:t>
                  </a:r>
                </a:p>
              </xdr:txBody>
            </xdr:sp>
          </mc:Choice>
          <mc:Fallback/>
        </mc:AlternateContent>
      </xdr:grpSp>
    </xdr:grpSp>
    <xdr:clientData/>
  </xdr:twoCellAnchor>
  <xdr:twoCellAnchor>
    <xdr:from>
      <xdr:col>0</xdr:col>
      <xdr:colOff>95250</xdr:colOff>
      <xdr:row>1</xdr:row>
      <xdr:rowOff>114300</xdr:rowOff>
    </xdr:from>
    <xdr:to>
      <xdr:col>13</xdr:col>
      <xdr:colOff>463550</xdr:colOff>
      <xdr:row>34</xdr:row>
      <xdr:rowOff>174624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pSpPr/>
      </xdr:nvGrpSpPr>
      <xdr:grpSpPr>
        <a:xfrm>
          <a:off x="95250" y="298450"/>
          <a:ext cx="8293100" cy="6137274"/>
          <a:chOff x="219075" y="473075"/>
          <a:chExt cx="8296275" cy="6032499"/>
        </a:xfrm>
      </xdr:grpSpPr>
      <xdr:grpSp>
        <xdr:nvGrpSpPr>
          <xdr:cNvPr id="2" name="Group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GrpSpPr/>
        </xdr:nvGrpSpPr>
        <xdr:grpSpPr>
          <a:xfrm>
            <a:off x="215900" y="473075"/>
            <a:ext cx="8299450" cy="5175250"/>
            <a:chOff x="0" y="873125"/>
            <a:chExt cx="7879645" cy="5219903"/>
          </a:xfrm>
        </xdr:grpSpPr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PicPr>
              <a:picLocks noChangeAspect="1" noChangeArrowheads="1"/>
            </xdr:cNvPicPr>
          </xdr:nvPicPr>
          <xdr:blipFill rotWithShape="1">
            <a:blip xmlns:r="http://schemas.openxmlformats.org/officeDocument/2006/relationships" r:embed="rId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t="14023" b="23420"/>
            <a:stretch/>
          </xdr:blipFill>
          <xdr:spPr bwMode="auto">
            <a:xfrm>
              <a:off x="0" y="2692805"/>
              <a:ext cx="7879645" cy="3400223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pic>
          <xdr:nvPicPr>
            <xdr:cNvPr id="6" name="Picture 5" descr="Merola Tile Profile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3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0" y="876300"/>
              <a:ext cx="4708155" cy="937862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pic>
          <xdr:nvPicPr>
            <xdr:cNvPr id="13" name="Graphic 12" descr="Construction worker female outline">
              <a:extLst>
                <a:ext uri="{FF2B5EF4-FFF2-40B4-BE49-F238E27FC236}">
                  <a16:creationId xmlns:a16="http://schemas.microsoft.com/office/drawing/2014/main" id="{00000000-0008-0000-0000-00000D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5"/>
                </a:ext>
              </a:extLst>
            </a:blip>
            <a:stretch>
              <a:fillRect/>
            </a:stretch>
          </xdr:blipFill>
          <xdr:spPr>
            <a:xfrm>
              <a:off x="4791075" y="873125"/>
              <a:ext cx="914400" cy="946150"/>
            </a:xfrm>
            <a:prstGeom prst="rect">
              <a:avLst/>
            </a:prstGeom>
          </xdr:spPr>
        </xdr:pic>
        <xdr:pic>
          <xdr:nvPicPr>
            <xdr:cNvPr id="15" name="Graphic 14" descr="Construction worker male outline">
              <a:extLst>
                <a:ext uri="{FF2B5EF4-FFF2-40B4-BE49-F238E27FC236}">
                  <a16:creationId xmlns:a16="http://schemas.microsoft.com/office/drawing/2014/main" id="{00000000-0008-0000-0000-00000F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7"/>
                </a:ext>
              </a:extLst>
            </a:blip>
            <a:stretch>
              <a:fillRect/>
            </a:stretch>
          </xdr:blipFill>
          <xdr:spPr>
            <a:xfrm>
              <a:off x="5728475" y="886600"/>
              <a:ext cx="914400" cy="946150"/>
            </a:xfrm>
            <a:prstGeom prst="rect">
              <a:avLst/>
            </a:prstGeom>
          </xdr:spPr>
        </xdr:pic>
      </xdr:grpSp>
      <xdr:grpSp>
        <xdr:nvGrpSpPr>
          <xdr:cNvPr id="3" name="Group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GrpSpPr/>
        </xdr:nvGrpSpPr>
        <xdr:grpSpPr>
          <a:xfrm>
            <a:off x="1924051" y="4914900"/>
            <a:ext cx="6531190" cy="1590674"/>
            <a:chOff x="1924051" y="4914900"/>
            <a:chExt cx="6531190" cy="1590674"/>
          </a:xfrm>
        </xdr:grpSpPr>
        <xdr:pic>
          <xdr:nvPicPr>
            <xdr:cNvPr id="17" name="Picture 16" descr="Premium Vector | Builders dressed in protective vests and helmets. construction  worker character | Engineer cartoon, Construction worker, Safety pictures">
              <a:extLst>
                <a:ext uri="{FF2B5EF4-FFF2-40B4-BE49-F238E27FC236}">
                  <a16:creationId xmlns:a16="http://schemas.microsoft.com/office/drawing/2014/main" id="{00000000-0008-0000-0000-000011000000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8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4000500" y="4934553"/>
              <a:ext cx="2286000" cy="1507520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pic>
          <xdr:nvPicPr>
            <xdr:cNvPr id="18" name="Picture 17" descr="Premium Vector | Construction staff characters. include foreman, painter,  electrician, landscaper, carpenter.">
              <a:extLst>
                <a:ext uri="{FF2B5EF4-FFF2-40B4-BE49-F238E27FC236}">
                  <a16:creationId xmlns:a16="http://schemas.microsoft.com/office/drawing/2014/main" id="{00000000-0008-0000-0000-000012000000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9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5854700" y="4914900"/>
              <a:ext cx="2600541" cy="1581150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pic>
          <xdr:nvPicPr>
            <xdr:cNvPr id="22" name="Picture 21" descr="Free Vector | Engineer men group with helmet secure">
              <a:extLst>
                <a:ext uri="{FF2B5EF4-FFF2-40B4-BE49-F238E27FC236}">
                  <a16:creationId xmlns:a16="http://schemas.microsoft.com/office/drawing/2014/main" id="{00000000-0008-0000-0000-000016000000}"/>
                </a:ext>
              </a:extLst>
            </xdr:cNvPr>
            <xdr:cNvPicPr>
              <a:picLocks noChangeAspect="1" noChangeArrowheads="1"/>
            </xdr:cNvPicPr>
          </xdr:nvPicPr>
          <xdr:blipFill rotWithShape="1">
            <a:blip xmlns:r="http://schemas.openxmlformats.org/officeDocument/2006/relationships" r:embed="rId10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t="12127"/>
            <a:stretch/>
          </xdr:blipFill>
          <xdr:spPr bwMode="auto">
            <a:xfrm>
              <a:off x="1924051" y="5027275"/>
              <a:ext cx="2466974" cy="1478299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printerSettings" Target="../printerSettings/printerSettings26.bin"/><Relationship Id="rId21" Type="http://schemas.openxmlformats.org/officeDocument/2006/relationships/printerSettings" Target="../printerSettings/printerSettings21.bin"/><Relationship Id="rId34" Type="http://schemas.openxmlformats.org/officeDocument/2006/relationships/printerSettings" Target="../printerSettings/printerSettings34.bin"/><Relationship Id="rId42" Type="http://schemas.openxmlformats.org/officeDocument/2006/relationships/printerSettings" Target="../printerSettings/printerSettings42.bin"/><Relationship Id="rId47" Type="http://schemas.openxmlformats.org/officeDocument/2006/relationships/printerSettings" Target="../printerSettings/printerSettings47.bin"/><Relationship Id="rId50" Type="http://schemas.openxmlformats.org/officeDocument/2006/relationships/printerSettings" Target="../printerSettings/printerSettings50.bin"/><Relationship Id="rId55" Type="http://schemas.openxmlformats.org/officeDocument/2006/relationships/printerSettings" Target="../printerSettings/printerSettings55.bin"/><Relationship Id="rId63" Type="http://schemas.openxmlformats.org/officeDocument/2006/relationships/drawing" Target="../drawings/drawing1.xml"/><Relationship Id="rId7" Type="http://schemas.openxmlformats.org/officeDocument/2006/relationships/printerSettings" Target="../printerSettings/printerSettings7.bin"/><Relationship Id="rId2" Type="http://schemas.openxmlformats.org/officeDocument/2006/relationships/printerSettings" Target="../printerSettings/printerSettings2.bin"/><Relationship Id="rId16" Type="http://schemas.openxmlformats.org/officeDocument/2006/relationships/printerSettings" Target="../printerSettings/printerSettings16.bin"/><Relationship Id="rId29" Type="http://schemas.openxmlformats.org/officeDocument/2006/relationships/printerSettings" Target="../printerSettings/printerSettings29.bin"/><Relationship Id="rId11" Type="http://schemas.openxmlformats.org/officeDocument/2006/relationships/printerSettings" Target="../printerSettings/printerSettings11.bin"/><Relationship Id="rId24" Type="http://schemas.openxmlformats.org/officeDocument/2006/relationships/printerSettings" Target="../printerSettings/printerSettings24.bin"/><Relationship Id="rId32" Type="http://schemas.openxmlformats.org/officeDocument/2006/relationships/printerSettings" Target="../printerSettings/printerSettings32.bin"/><Relationship Id="rId37" Type="http://schemas.openxmlformats.org/officeDocument/2006/relationships/printerSettings" Target="../printerSettings/printerSettings37.bin"/><Relationship Id="rId40" Type="http://schemas.openxmlformats.org/officeDocument/2006/relationships/printerSettings" Target="../printerSettings/printerSettings40.bin"/><Relationship Id="rId45" Type="http://schemas.openxmlformats.org/officeDocument/2006/relationships/printerSettings" Target="../printerSettings/printerSettings45.bin"/><Relationship Id="rId53" Type="http://schemas.openxmlformats.org/officeDocument/2006/relationships/printerSettings" Target="../printerSettings/printerSettings53.bin"/><Relationship Id="rId58" Type="http://schemas.openxmlformats.org/officeDocument/2006/relationships/printerSettings" Target="../printerSettings/printerSettings58.bin"/><Relationship Id="rId5" Type="http://schemas.openxmlformats.org/officeDocument/2006/relationships/printerSettings" Target="../printerSettings/printerSettings5.bin"/><Relationship Id="rId61" Type="http://schemas.openxmlformats.org/officeDocument/2006/relationships/printerSettings" Target="../printerSettings/printerSettings61.bin"/><Relationship Id="rId19" Type="http://schemas.openxmlformats.org/officeDocument/2006/relationships/printerSettings" Target="../printerSettings/printerSettings19.bin"/><Relationship Id="rId14" Type="http://schemas.openxmlformats.org/officeDocument/2006/relationships/printerSettings" Target="../printerSettings/printerSettings14.bin"/><Relationship Id="rId22" Type="http://schemas.openxmlformats.org/officeDocument/2006/relationships/printerSettings" Target="../printerSettings/printerSettings22.bin"/><Relationship Id="rId27" Type="http://schemas.openxmlformats.org/officeDocument/2006/relationships/printerSettings" Target="../printerSettings/printerSettings27.bin"/><Relationship Id="rId30" Type="http://schemas.openxmlformats.org/officeDocument/2006/relationships/printerSettings" Target="../printerSettings/printerSettings30.bin"/><Relationship Id="rId35" Type="http://schemas.openxmlformats.org/officeDocument/2006/relationships/printerSettings" Target="../printerSettings/printerSettings35.bin"/><Relationship Id="rId43" Type="http://schemas.openxmlformats.org/officeDocument/2006/relationships/printerSettings" Target="../printerSettings/printerSettings43.bin"/><Relationship Id="rId48" Type="http://schemas.openxmlformats.org/officeDocument/2006/relationships/printerSettings" Target="../printerSettings/printerSettings48.bin"/><Relationship Id="rId56" Type="http://schemas.openxmlformats.org/officeDocument/2006/relationships/printerSettings" Target="../printerSettings/printerSettings56.bin"/><Relationship Id="rId64" Type="http://schemas.openxmlformats.org/officeDocument/2006/relationships/vmlDrawing" Target="../drawings/vmlDrawing1.vml"/><Relationship Id="rId8" Type="http://schemas.openxmlformats.org/officeDocument/2006/relationships/printerSettings" Target="../printerSettings/printerSettings8.bin"/><Relationship Id="rId51" Type="http://schemas.openxmlformats.org/officeDocument/2006/relationships/printerSettings" Target="../printerSettings/printerSettings51.bin"/><Relationship Id="rId3" Type="http://schemas.openxmlformats.org/officeDocument/2006/relationships/printerSettings" Target="../printerSettings/printerSettings3.bin"/><Relationship Id="rId12" Type="http://schemas.openxmlformats.org/officeDocument/2006/relationships/printerSettings" Target="../printerSettings/printerSettings12.bin"/><Relationship Id="rId17" Type="http://schemas.openxmlformats.org/officeDocument/2006/relationships/printerSettings" Target="../printerSettings/printerSettings17.bin"/><Relationship Id="rId25" Type="http://schemas.openxmlformats.org/officeDocument/2006/relationships/printerSettings" Target="../printerSettings/printerSettings25.bin"/><Relationship Id="rId33" Type="http://schemas.openxmlformats.org/officeDocument/2006/relationships/printerSettings" Target="../printerSettings/printerSettings33.bin"/><Relationship Id="rId38" Type="http://schemas.openxmlformats.org/officeDocument/2006/relationships/printerSettings" Target="../printerSettings/printerSettings38.bin"/><Relationship Id="rId46" Type="http://schemas.openxmlformats.org/officeDocument/2006/relationships/printerSettings" Target="../printerSettings/printerSettings46.bin"/><Relationship Id="rId59" Type="http://schemas.openxmlformats.org/officeDocument/2006/relationships/printerSettings" Target="../printerSettings/printerSettings59.bin"/><Relationship Id="rId20" Type="http://schemas.openxmlformats.org/officeDocument/2006/relationships/printerSettings" Target="../printerSettings/printerSettings20.bin"/><Relationship Id="rId41" Type="http://schemas.openxmlformats.org/officeDocument/2006/relationships/printerSettings" Target="../printerSettings/printerSettings41.bin"/><Relationship Id="rId54" Type="http://schemas.openxmlformats.org/officeDocument/2006/relationships/printerSettings" Target="../printerSettings/printerSettings54.bin"/><Relationship Id="rId62" Type="http://schemas.openxmlformats.org/officeDocument/2006/relationships/printerSettings" Target="../printerSettings/printerSettings62.bin"/><Relationship Id="rId1" Type="http://schemas.openxmlformats.org/officeDocument/2006/relationships/printerSettings" Target="../printerSettings/printerSettings1.bin"/><Relationship Id="rId6" Type="http://schemas.openxmlformats.org/officeDocument/2006/relationships/printerSettings" Target="../printerSettings/printerSettings6.bin"/><Relationship Id="rId15" Type="http://schemas.openxmlformats.org/officeDocument/2006/relationships/printerSettings" Target="../printerSettings/printerSettings15.bin"/><Relationship Id="rId23" Type="http://schemas.openxmlformats.org/officeDocument/2006/relationships/printerSettings" Target="../printerSettings/printerSettings23.bin"/><Relationship Id="rId28" Type="http://schemas.openxmlformats.org/officeDocument/2006/relationships/printerSettings" Target="../printerSettings/printerSettings28.bin"/><Relationship Id="rId36" Type="http://schemas.openxmlformats.org/officeDocument/2006/relationships/printerSettings" Target="../printerSettings/printerSettings36.bin"/><Relationship Id="rId49" Type="http://schemas.openxmlformats.org/officeDocument/2006/relationships/printerSettings" Target="../printerSettings/printerSettings49.bin"/><Relationship Id="rId57" Type="http://schemas.openxmlformats.org/officeDocument/2006/relationships/printerSettings" Target="../printerSettings/printerSettings57.bin"/><Relationship Id="rId10" Type="http://schemas.openxmlformats.org/officeDocument/2006/relationships/printerSettings" Target="../printerSettings/printerSettings10.bin"/><Relationship Id="rId31" Type="http://schemas.openxmlformats.org/officeDocument/2006/relationships/printerSettings" Target="../printerSettings/printerSettings31.bin"/><Relationship Id="rId44" Type="http://schemas.openxmlformats.org/officeDocument/2006/relationships/printerSettings" Target="../printerSettings/printerSettings44.bin"/><Relationship Id="rId52" Type="http://schemas.openxmlformats.org/officeDocument/2006/relationships/printerSettings" Target="../printerSettings/printerSettings52.bin"/><Relationship Id="rId60" Type="http://schemas.openxmlformats.org/officeDocument/2006/relationships/printerSettings" Target="../printerSettings/printerSettings60.bin"/><Relationship Id="rId65" Type="http://schemas.openxmlformats.org/officeDocument/2006/relationships/ctrlProp" Target="../ctrlProps/ctrlProp1.xml"/><Relationship Id="rId4" Type="http://schemas.openxmlformats.org/officeDocument/2006/relationships/printerSettings" Target="../printerSettings/printerSettings4.bin"/><Relationship Id="rId9" Type="http://schemas.openxmlformats.org/officeDocument/2006/relationships/printerSettings" Target="../printerSettings/printerSettings9.bin"/><Relationship Id="rId13" Type="http://schemas.openxmlformats.org/officeDocument/2006/relationships/printerSettings" Target="../printerSettings/printerSettings13.bin"/><Relationship Id="rId18" Type="http://schemas.openxmlformats.org/officeDocument/2006/relationships/printerSettings" Target="../printerSettings/printerSettings18.bin"/><Relationship Id="rId39" Type="http://schemas.openxmlformats.org/officeDocument/2006/relationships/printerSettings" Target="../printerSettings/printerSettings39.bin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printerSettings" Target="../printerSettings/printerSettings75.bin"/><Relationship Id="rId18" Type="http://schemas.openxmlformats.org/officeDocument/2006/relationships/printerSettings" Target="../printerSettings/printerSettings80.bin"/><Relationship Id="rId26" Type="http://schemas.openxmlformats.org/officeDocument/2006/relationships/printerSettings" Target="../printerSettings/printerSettings88.bin"/><Relationship Id="rId39" Type="http://schemas.openxmlformats.org/officeDocument/2006/relationships/printerSettings" Target="../printerSettings/printerSettings101.bin"/><Relationship Id="rId21" Type="http://schemas.openxmlformats.org/officeDocument/2006/relationships/printerSettings" Target="../printerSettings/printerSettings83.bin"/><Relationship Id="rId34" Type="http://schemas.openxmlformats.org/officeDocument/2006/relationships/printerSettings" Target="../printerSettings/printerSettings96.bin"/><Relationship Id="rId42" Type="http://schemas.openxmlformats.org/officeDocument/2006/relationships/printerSettings" Target="../printerSettings/printerSettings104.bin"/><Relationship Id="rId47" Type="http://schemas.openxmlformats.org/officeDocument/2006/relationships/printerSettings" Target="../printerSettings/printerSettings109.bin"/><Relationship Id="rId50" Type="http://schemas.openxmlformats.org/officeDocument/2006/relationships/printerSettings" Target="../printerSettings/printerSettings112.bin"/><Relationship Id="rId55" Type="http://schemas.openxmlformats.org/officeDocument/2006/relationships/printerSettings" Target="../printerSettings/printerSettings117.bin"/><Relationship Id="rId7" Type="http://schemas.openxmlformats.org/officeDocument/2006/relationships/printerSettings" Target="../printerSettings/printerSettings69.bin"/><Relationship Id="rId2" Type="http://schemas.openxmlformats.org/officeDocument/2006/relationships/printerSettings" Target="../printerSettings/printerSettings64.bin"/><Relationship Id="rId16" Type="http://schemas.openxmlformats.org/officeDocument/2006/relationships/printerSettings" Target="../printerSettings/printerSettings78.bin"/><Relationship Id="rId29" Type="http://schemas.openxmlformats.org/officeDocument/2006/relationships/printerSettings" Target="../printerSettings/printerSettings91.bin"/><Relationship Id="rId11" Type="http://schemas.openxmlformats.org/officeDocument/2006/relationships/printerSettings" Target="../printerSettings/printerSettings73.bin"/><Relationship Id="rId24" Type="http://schemas.openxmlformats.org/officeDocument/2006/relationships/printerSettings" Target="../printerSettings/printerSettings86.bin"/><Relationship Id="rId32" Type="http://schemas.openxmlformats.org/officeDocument/2006/relationships/printerSettings" Target="../printerSettings/printerSettings94.bin"/><Relationship Id="rId37" Type="http://schemas.openxmlformats.org/officeDocument/2006/relationships/printerSettings" Target="../printerSettings/printerSettings99.bin"/><Relationship Id="rId40" Type="http://schemas.openxmlformats.org/officeDocument/2006/relationships/printerSettings" Target="../printerSettings/printerSettings102.bin"/><Relationship Id="rId45" Type="http://schemas.openxmlformats.org/officeDocument/2006/relationships/printerSettings" Target="../printerSettings/printerSettings107.bin"/><Relationship Id="rId53" Type="http://schemas.openxmlformats.org/officeDocument/2006/relationships/printerSettings" Target="../printerSettings/printerSettings115.bin"/><Relationship Id="rId58" Type="http://schemas.openxmlformats.org/officeDocument/2006/relationships/printerSettings" Target="../printerSettings/printerSettings120.bin"/><Relationship Id="rId5" Type="http://schemas.openxmlformats.org/officeDocument/2006/relationships/printerSettings" Target="../printerSettings/printerSettings67.bin"/><Relationship Id="rId61" Type="http://schemas.openxmlformats.org/officeDocument/2006/relationships/printerSettings" Target="../printerSettings/printerSettings123.bin"/><Relationship Id="rId19" Type="http://schemas.openxmlformats.org/officeDocument/2006/relationships/printerSettings" Target="../printerSettings/printerSettings81.bin"/><Relationship Id="rId14" Type="http://schemas.openxmlformats.org/officeDocument/2006/relationships/printerSettings" Target="../printerSettings/printerSettings76.bin"/><Relationship Id="rId22" Type="http://schemas.openxmlformats.org/officeDocument/2006/relationships/printerSettings" Target="../printerSettings/printerSettings84.bin"/><Relationship Id="rId27" Type="http://schemas.openxmlformats.org/officeDocument/2006/relationships/printerSettings" Target="../printerSettings/printerSettings89.bin"/><Relationship Id="rId30" Type="http://schemas.openxmlformats.org/officeDocument/2006/relationships/printerSettings" Target="../printerSettings/printerSettings92.bin"/><Relationship Id="rId35" Type="http://schemas.openxmlformats.org/officeDocument/2006/relationships/printerSettings" Target="../printerSettings/printerSettings97.bin"/><Relationship Id="rId43" Type="http://schemas.openxmlformats.org/officeDocument/2006/relationships/printerSettings" Target="../printerSettings/printerSettings105.bin"/><Relationship Id="rId48" Type="http://schemas.openxmlformats.org/officeDocument/2006/relationships/printerSettings" Target="../printerSettings/printerSettings110.bin"/><Relationship Id="rId56" Type="http://schemas.openxmlformats.org/officeDocument/2006/relationships/printerSettings" Target="../printerSettings/printerSettings118.bin"/><Relationship Id="rId8" Type="http://schemas.openxmlformats.org/officeDocument/2006/relationships/printerSettings" Target="../printerSettings/printerSettings70.bin"/><Relationship Id="rId51" Type="http://schemas.openxmlformats.org/officeDocument/2006/relationships/printerSettings" Target="../printerSettings/printerSettings113.bin"/><Relationship Id="rId3" Type="http://schemas.openxmlformats.org/officeDocument/2006/relationships/printerSettings" Target="../printerSettings/printerSettings65.bin"/><Relationship Id="rId12" Type="http://schemas.openxmlformats.org/officeDocument/2006/relationships/printerSettings" Target="../printerSettings/printerSettings74.bin"/><Relationship Id="rId17" Type="http://schemas.openxmlformats.org/officeDocument/2006/relationships/printerSettings" Target="../printerSettings/printerSettings79.bin"/><Relationship Id="rId25" Type="http://schemas.openxmlformats.org/officeDocument/2006/relationships/printerSettings" Target="../printerSettings/printerSettings87.bin"/><Relationship Id="rId33" Type="http://schemas.openxmlformats.org/officeDocument/2006/relationships/printerSettings" Target="../printerSettings/printerSettings95.bin"/><Relationship Id="rId38" Type="http://schemas.openxmlformats.org/officeDocument/2006/relationships/printerSettings" Target="../printerSettings/printerSettings100.bin"/><Relationship Id="rId46" Type="http://schemas.openxmlformats.org/officeDocument/2006/relationships/printerSettings" Target="../printerSettings/printerSettings108.bin"/><Relationship Id="rId59" Type="http://schemas.openxmlformats.org/officeDocument/2006/relationships/printerSettings" Target="../printerSettings/printerSettings121.bin"/><Relationship Id="rId20" Type="http://schemas.openxmlformats.org/officeDocument/2006/relationships/printerSettings" Target="../printerSettings/printerSettings82.bin"/><Relationship Id="rId41" Type="http://schemas.openxmlformats.org/officeDocument/2006/relationships/printerSettings" Target="../printerSettings/printerSettings103.bin"/><Relationship Id="rId54" Type="http://schemas.openxmlformats.org/officeDocument/2006/relationships/printerSettings" Target="../printerSettings/printerSettings116.bin"/><Relationship Id="rId62" Type="http://schemas.openxmlformats.org/officeDocument/2006/relationships/printerSettings" Target="../printerSettings/printerSettings124.bin"/><Relationship Id="rId1" Type="http://schemas.openxmlformats.org/officeDocument/2006/relationships/printerSettings" Target="../printerSettings/printerSettings63.bin"/><Relationship Id="rId6" Type="http://schemas.openxmlformats.org/officeDocument/2006/relationships/printerSettings" Target="../printerSettings/printerSettings68.bin"/><Relationship Id="rId15" Type="http://schemas.openxmlformats.org/officeDocument/2006/relationships/printerSettings" Target="../printerSettings/printerSettings77.bin"/><Relationship Id="rId23" Type="http://schemas.openxmlformats.org/officeDocument/2006/relationships/printerSettings" Target="../printerSettings/printerSettings85.bin"/><Relationship Id="rId28" Type="http://schemas.openxmlformats.org/officeDocument/2006/relationships/printerSettings" Target="../printerSettings/printerSettings90.bin"/><Relationship Id="rId36" Type="http://schemas.openxmlformats.org/officeDocument/2006/relationships/printerSettings" Target="../printerSettings/printerSettings98.bin"/><Relationship Id="rId49" Type="http://schemas.openxmlformats.org/officeDocument/2006/relationships/printerSettings" Target="../printerSettings/printerSettings111.bin"/><Relationship Id="rId57" Type="http://schemas.openxmlformats.org/officeDocument/2006/relationships/printerSettings" Target="../printerSettings/printerSettings119.bin"/><Relationship Id="rId10" Type="http://schemas.openxmlformats.org/officeDocument/2006/relationships/printerSettings" Target="../printerSettings/printerSettings72.bin"/><Relationship Id="rId31" Type="http://schemas.openxmlformats.org/officeDocument/2006/relationships/printerSettings" Target="../printerSettings/printerSettings93.bin"/><Relationship Id="rId44" Type="http://schemas.openxmlformats.org/officeDocument/2006/relationships/printerSettings" Target="../printerSettings/printerSettings106.bin"/><Relationship Id="rId52" Type="http://schemas.openxmlformats.org/officeDocument/2006/relationships/printerSettings" Target="../printerSettings/printerSettings114.bin"/><Relationship Id="rId60" Type="http://schemas.openxmlformats.org/officeDocument/2006/relationships/printerSettings" Target="../printerSettings/printerSettings122.bin"/><Relationship Id="rId4" Type="http://schemas.openxmlformats.org/officeDocument/2006/relationships/printerSettings" Target="../printerSettings/printerSettings66.bin"/><Relationship Id="rId9" Type="http://schemas.openxmlformats.org/officeDocument/2006/relationships/printerSettings" Target="../printerSettings/printerSettings7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"/>
  <sheetViews>
    <sheetView showGridLines="0" tabSelected="1" zoomScaleNormal="80" workbookViewId="0">
      <selection activeCell="T24" sqref="T24"/>
    </sheetView>
  </sheetViews>
  <sheetFormatPr defaultRowHeight="14.5" x14ac:dyDescent="0.35"/>
  <sheetData/>
  <customSheetViews>
    <customSheetView guid="{7D8BEEC5-4E70-4F4F-873D-28103A2E2FE0}" showGridLines="0">
      <selection activeCell="U22" sqref="U22"/>
      <pageMargins left="0.7" right="0.7" top="0.75" bottom="0.75" header="0.3" footer="0.3"/>
      <pageSetup orientation="portrait" r:id="rId1"/>
    </customSheetView>
    <customSheetView guid="{D11E8A94-7179-435B-8F57-2378E88EFDA3}" scale="80" showGridLines="0">
      <selection activeCell="U27" sqref="U27"/>
      <pageMargins left="0.7" right="0.7" top="0.75" bottom="0.75" header="0.3" footer="0.3"/>
      <pageSetup orientation="portrait" r:id="rId2"/>
    </customSheetView>
    <customSheetView guid="{4B2B4EAF-DC8A-4EDB-85A2-6E268C25818A}" scale="80" showGridLines="0">
      <selection activeCell="U27" sqref="U27"/>
      <pageMargins left="0.7" right="0.7" top="0.75" bottom="0.75" header="0.3" footer="0.3"/>
      <pageSetup orientation="portrait" r:id="rId3"/>
    </customSheetView>
    <customSheetView guid="{10831558-F39E-46E5-A7C8-2D54D16C667E}" scale="80" showGridLines="0" topLeftCell="A4">
      <selection activeCell="R24" sqref="R24"/>
      <pageMargins left="0.7" right="0.7" top="0.75" bottom="0.75" header="0.3" footer="0.3"/>
      <pageSetup orientation="portrait" r:id="rId4"/>
    </customSheetView>
    <customSheetView guid="{A1C6C3EF-2216-4716-94DB-14D23CC0785E}" scale="80" showGridLines="0" topLeftCell="A4">
      <selection activeCell="U27" sqref="U27"/>
      <pageMargins left="0.7" right="0.7" top="0.75" bottom="0.75" header="0.3" footer="0.3"/>
      <pageSetup orientation="portrait" r:id="rId5"/>
    </customSheetView>
    <customSheetView guid="{4A7C06BE-7E6A-44F5-B77B-242ED69A9134}" showGridLines="0">
      <selection activeCell="U27" sqref="U27"/>
      <pageMargins left="0.7" right="0.7" top="0.75" bottom="0.75" header="0.3" footer="0.3"/>
      <pageSetup orientation="portrait" r:id="rId6"/>
    </customSheetView>
    <customSheetView guid="{54247267-7166-4703-88DC-EE77135F4B24}" scale="80" showGridLines="0">
      <selection activeCell="U27" sqref="U27"/>
      <pageMargins left="0.7" right="0.7" top="0.75" bottom="0.75" header="0.3" footer="0.3"/>
      <pageSetup orientation="portrait" r:id="rId7"/>
    </customSheetView>
    <customSheetView guid="{FA90666B-2A94-4CBC-9AD4-84BA7AC2F21D}" scale="80" showGridLines="0" topLeftCell="A7">
      <selection activeCell="U27" sqref="U27"/>
      <pageMargins left="0.7" right="0.7" top="0.75" bottom="0.75" header="0.3" footer="0.3"/>
      <pageSetup orientation="portrait" r:id="rId8"/>
    </customSheetView>
    <customSheetView guid="{B45F70C9-BDF3-40AB-B6D3-CDC9BD0FB4DC}" scale="80" showGridLines="0">
      <selection activeCell="U27" sqref="U27"/>
      <pageMargins left="0.7" right="0.7" top="0.75" bottom="0.75" header="0.3" footer="0.3"/>
      <pageSetup orientation="portrait" r:id="rId9"/>
    </customSheetView>
    <customSheetView guid="{8FFA260A-9485-490B-8306-C2FFC0D3DB95}" scale="80" showGridLines="0">
      <selection activeCell="U27" sqref="U27"/>
      <pageMargins left="0.7" right="0.7" top="0.75" bottom="0.75" header="0.3" footer="0.3"/>
      <pageSetup orientation="portrait" r:id="rId10"/>
    </customSheetView>
    <customSheetView guid="{BEAC0404-A0B0-402F-BC06-7BD08E9FC54D}" scale="80" showGridLines="0">
      <selection activeCell="W10" sqref="W10"/>
      <pageMargins left="0.7" right="0.7" top="0.75" bottom="0.75" header="0.3" footer="0.3"/>
      <pageSetup orientation="portrait" r:id="rId11"/>
    </customSheetView>
    <customSheetView guid="{9A5116E3-D829-4007-8956-520E4EC3D63C}" scale="80" showGridLines="0">
      <selection activeCell="U27" sqref="U27"/>
      <pageMargins left="0.7" right="0.7" top="0.75" bottom="0.75" header="0.3" footer="0.3"/>
      <pageSetup orientation="portrait" r:id="rId12"/>
    </customSheetView>
    <customSheetView guid="{3A39C826-7E9C-48AF-A8A0-D3A095607F67}" scale="80" showGridLines="0">
      <selection activeCell="U27" sqref="U27"/>
      <pageMargins left="0.7" right="0.7" top="0.75" bottom="0.75" header="0.3" footer="0.3"/>
      <pageSetup orientation="portrait" r:id="rId13"/>
    </customSheetView>
    <customSheetView guid="{DC8FA18F-38EA-476F-AF24-786BA9C82C74}" scale="80" showGridLines="0">
      <selection activeCell="U27" sqref="U27"/>
      <pageMargins left="0.7" right="0.7" top="0.75" bottom="0.75" header="0.3" footer="0.3"/>
      <pageSetup orientation="portrait" r:id="rId14"/>
    </customSheetView>
    <customSheetView guid="{BEA09B66-BAEF-400E-9AC3-203744784C7B}" scale="80" showGridLines="0">
      <selection activeCell="U27" sqref="U27"/>
      <pageMargins left="0.7" right="0.7" top="0.75" bottom="0.75" header="0.3" footer="0.3"/>
      <pageSetup orientation="portrait" r:id="rId15"/>
    </customSheetView>
    <customSheetView guid="{6DB4CCFC-8CC8-4A07-A983-FF12F2ADF582}" showGridLines="0">
      <selection activeCell="K34" sqref="K34"/>
      <pageMargins left="0.7" right="0.7" top="0.75" bottom="0.75" header="0.3" footer="0.3"/>
      <pageSetup orientation="portrait" r:id="rId16"/>
    </customSheetView>
    <customSheetView guid="{D6E4985C-38F0-4B75-9A92-C4DF68FB8E13}" scale="80" showGridLines="0">
      <selection activeCell="U27" sqref="U27"/>
      <pageMargins left="0.7" right="0.7" top="0.75" bottom="0.75" header="0.3" footer="0.3"/>
      <pageSetup orientation="portrait" r:id="rId17"/>
    </customSheetView>
    <customSheetView guid="{5CB5182B-C8B4-423B-BB94-377D7D5F19F6}" scale="80" showGridLines="0">
      <selection activeCell="U27" sqref="U27"/>
      <pageMargins left="0.7" right="0.7" top="0.75" bottom="0.75" header="0.3" footer="0.3"/>
      <pageSetup orientation="portrait" r:id="rId18"/>
    </customSheetView>
    <customSheetView guid="{264391A9-7765-4AAF-B198-B3526599A2CE}" showGridLines="0">
      <selection activeCell="K34" sqref="K34"/>
      <pageMargins left="0.7" right="0.7" top="0.75" bottom="0.75" header="0.3" footer="0.3"/>
      <pageSetup orientation="portrait" r:id="rId19"/>
    </customSheetView>
    <customSheetView guid="{517EC3FD-C3FB-43F6-9515-911AFCD30574}" showGridLines="0">
      <selection activeCell="K34" sqref="K34"/>
      <pageMargins left="0.7" right="0.7" top="0.75" bottom="0.75" header="0.3" footer="0.3"/>
      <pageSetup orientation="portrait" r:id="rId20"/>
    </customSheetView>
    <customSheetView guid="{7FB4D68A-9941-4C19-9960-215E27FDEEC1}" showGridLines="0">
      <selection activeCell="AA17" sqref="AA17"/>
      <pageMargins left="0.7" right="0.7" top="0.75" bottom="0.75" header="0.3" footer="0.3"/>
      <pageSetup orientation="portrait" r:id="rId21"/>
    </customSheetView>
    <customSheetView guid="{A6E54CE6-AA70-4C46-817A-562A040C3E38}" showGridLines="0">
      <selection activeCell="AA17" sqref="AA17"/>
      <pageMargins left="0.7" right="0.7" top="0.75" bottom="0.75" header="0.3" footer="0.3"/>
      <pageSetup orientation="portrait" r:id="rId22"/>
    </customSheetView>
    <customSheetView guid="{D7393E09-E6A1-4898-B812-3ADD0FC9B0F5}" showGridLines="0">
      <selection activeCell="AA17" sqref="AA17"/>
      <pageMargins left="0.7" right="0.7" top="0.75" bottom="0.75" header="0.3" footer="0.3"/>
      <pageSetup orientation="portrait" r:id="rId23"/>
    </customSheetView>
    <customSheetView guid="{6A6A330F-D68A-4911-A0AE-D6A36FA62CF3}" showGridLines="0">
      <selection activeCell="AA17" sqref="AA17"/>
      <pageMargins left="0.7" right="0.7" top="0.75" bottom="0.75" header="0.3" footer="0.3"/>
      <pageSetup orientation="portrait" r:id="rId24"/>
    </customSheetView>
    <customSheetView guid="{D497015A-FBBB-461A-839D-F30470CDE388}" showGridLines="0">
      <selection activeCell="AA17" sqref="AA17"/>
      <pageMargins left="0.7" right="0.7" top="0.75" bottom="0.75" header="0.3" footer="0.3"/>
      <pageSetup orientation="portrait" r:id="rId25"/>
    </customSheetView>
    <customSheetView guid="{3BC1013F-5E26-423D-9031-DCB7997CAF6D}" showGridLines="0">
      <selection activeCell="AA17" sqref="AA17"/>
      <pageMargins left="0.7" right="0.7" top="0.75" bottom="0.75" header="0.3" footer="0.3"/>
      <pageSetup orientation="portrait" r:id="rId26"/>
    </customSheetView>
    <customSheetView guid="{91995DC3-DDFE-486A-B625-A503A69007BB}" showGridLines="0">
      <selection activeCell="AA17" sqref="AA17"/>
      <pageMargins left="0.7" right="0.7" top="0.75" bottom="0.75" header="0.3" footer="0.3"/>
      <pageSetup orientation="portrait" r:id="rId27"/>
    </customSheetView>
    <customSheetView guid="{0BACE8FA-4427-44A5-995C-1A8BFA2FADFE}" showGridLines="0" topLeftCell="A7">
      <selection activeCell="AA17" sqref="AA17"/>
      <pageMargins left="0.7" right="0.7" top="0.75" bottom="0.75" header="0.3" footer="0.3"/>
      <pageSetup orientation="portrait" r:id="rId28"/>
    </customSheetView>
    <customSheetView guid="{1C5F205E-A89D-4AE1-9C50-A72CC842B6F4}" showGridLines="0" topLeftCell="A7">
      <selection activeCell="AA17" sqref="AA17"/>
      <pageMargins left="0.7" right="0.7" top="0.75" bottom="0.75" header="0.3" footer="0.3"/>
      <pageSetup orientation="portrait" r:id="rId29"/>
    </customSheetView>
    <customSheetView guid="{0C159AD6-2DAA-4315-960C-ECA8D5119687}" showGridLines="0">
      <selection activeCell="AA17" sqref="AA17"/>
      <pageMargins left="0.7" right="0.7" top="0.75" bottom="0.75" header="0.3" footer="0.3"/>
      <pageSetup orientation="portrait" r:id="rId30"/>
    </customSheetView>
    <customSheetView guid="{E66070B5-A73D-4433-B9AE-9B5FB4EEE9AF}" showGridLines="0">
      <selection activeCell="AA17" sqref="AA17"/>
      <pageMargins left="0.7" right="0.7" top="0.75" bottom="0.75" header="0.3" footer="0.3"/>
      <pageSetup orientation="portrait" r:id="rId31"/>
    </customSheetView>
    <customSheetView guid="{77172587-88C0-4E77-90D9-670809AACD33}" showGridLines="0">
      <selection activeCell="AA17" sqref="AA17"/>
      <pageMargins left="0.7" right="0.7" top="0.75" bottom="0.75" header="0.3" footer="0.3"/>
      <pageSetup orientation="portrait" r:id="rId32"/>
    </customSheetView>
    <customSheetView guid="{C9D7BF9D-DA11-4C4F-B310-60E3791FDE59}" showGridLines="0">
      <selection activeCell="AA17" sqref="AA17"/>
      <pageMargins left="0.7" right="0.7" top="0.75" bottom="0.75" header="0.3" footer="0.3"/>
      <pageSetup orientation="portrait" r:id="rId33"/>
    </customSheetView>
    <customSheetView guid="{64666709-18F8-438A-A45B-CBF9FA60AACC}" showGridLines="0">
      <selection activeCell="AA17" sqref="AA17"/>
      <pageMargins left="0.7" right="0.7" top="0.75" bottom="0.75" header="0.3" footer="0.3"/>
      <pageSetup orientation="portrait" r:id="rId34"/>
    </customSheetView>
    <customSheetView guid="{DC6196F2-6C7B-4FEC-8A78-24FD72DFE808}" showGridLines="0">
      <selection activeCell="AA17" sqref="AA17"/>
      <pageMargins left="0.7" right="0.7" top="0.75" bottom="0.75" header="0.3" footer="0.3"/>
      <pageSetup orientation="portrait" r:id="rId35"/>
    </customSheetView>
    <customSheetView guid="{1D1559D7-CF7B-44C6-9537-CFA4DE28539F}" showGridLines="0">
      <selection activeCell="P25" sqref="P25:Q25"/>
      <pageMargins left="0.7" right="0.7" top="0.75" bottom="0.75" header="0.3" footer="0.3"/>
      <pageSetup orientation="portrait" r:id="rId36"/>
    </customSheetView>
    <customSheetView guid="{00B08691-36AD-423E-A5DA-81EDB2FC4B50}" showGridLines="0">
      <selection activeCell="U27" sqref="U27"/>
      <pageMargins left="0.7" right="0.7" top="0.75" bottom="0.75" header="0.3" footer="0.3"/>
      <pageSetup orientation="portrait" r:id="rId37"/>
    </customSheetView>
    <customSheetView guid="{2780BE28-0844-406E-A00A-803C3522678E}" showGridLines="0" topLeftCell="G4">
      <selection activeCell="K34" sqref="K34"/>
      <pageMargins left="0.7" right="0.7" top="0.75" bottom="0.75" header="0.3" footer="0.3"/>
      <pageSetup orientation="portrait" r:id="rId38"/>
    </customSheetView>
    <customSheetView guid="{8AE5DC1D-6418-4E7E-9047-4387BCECBEA8}" showGridLines="0">
      <selection activeCell="K34" sqref="K34"/>
      <pageMargins left="0.7" right="0.7" top="0.75" bottom="0.75" header="0.3" footer="0.3"/>
      <pageSetup orientation="portrait" r:id="rId39"/>
    </customSheetView>
    <customSheetView guid="{FAE41C2C-8F5E-482D-A33B-233421D5EBE5}" showGridLines="0">
      <selection activeCell="K34" sqref="K34"/>
      <pageMargins left="0.7" right="0.7" top="0.75" bottom="0.75" header="0.3" footer="0.3"/>
      <pageSetup orientation="portrait" r:id="rId40"/>
    </customSheetView>
    <customSheetView guid="{FD51856D-CE67-4387-B8D5-42611AFDA9B0}" showGridLines="0">
      <selection activeCell="K34" sqref="K34"/>
      <pageMargins left="0.7" right="0.7" top="0.75" bottom="0.75" header="0.3" footer="0.3"/>
      <pageSetup orientation="portrait" r:id="rId41"/>
    </customSheetView>
    <customSheetView guid="{CF7B7343-8A34-41AA-AFB0-7C5A81B6D93C}" scale="80" showGridLines="0">
      <selection activeCell="A50" sqref="A50"/>
      <pageMargins left="0.7" right="0.7" top="0.75" bottom="0.75" header="0.3" footer="0.3"/>
      <pageSetup orientation="portrait" r:id="rId42"/>
    </customSheetView>
    <customSheetView guid="{61C04BB9-0063-4A28-A7A2-777D52B5EECB}" showGridLines="0">
      <selection activeCell="K34" sqref="K34"/>
      <pageMargins left="0.7" right="0.7" top="0.75" bottom="0.75" header="0.3" footer="0.3"/>
      <pageSetup orientation="portrait" r:id="rId43"/>
    </customSheetView>
    <customSheetView guid="{22AEA148-E8A5-40EF-8118-4B1A6BF2CF05}" showGridLines="0">
      <selection activeCell="K34" sqref="K34"/>
      <pageMargins left="0.7" right="0.7" top="0.75" bottom="0.75" header="0.3" footer="0.3"/>
      <pageSetup orientation="portrait" r:id="rId44"/>
    </customSheetView>
    <customSheetView guid="{A6A034B2-E4EE-44C3-9105-8CD3B92F7439}" showGridLines="0" topLeftCell="G4">
      <selection activeCell="K34" sqref="K34"/>
      <pageMargins left="0.7" right="0.7" top="0.75" bottom="0.75" header="0.3" footer="0.3"/>
      <pageSetup orientation="portrait" r:id="rId45"/>
    </customSheetView>
    <customSheetView guid="{F26A0CC0-C3E5-4290-8FB8-33E4818FAFA9}" scale="80" showGridLines="0">
      <selection activeCell="U27" sqref="U27"/>
      <pageMargins left="0.7" right="0.7" top="0.75" bottom="0.75" header="0.3" footer="0.3"/>
      <pageSetup orientation="portrait" r:id="rId46"/>
    </customSheetView>
    <customSheetView guid="{24B300B1-6A38-42E2-8023-0C89A4ED1C54}" scale="80" showGridLines="0">
      <selection activeCell="U27" sqref="U27"/>
      <pageMargins left="0.7" right="0.7" top="0.75" bottom="0.75" header="0.3" footer="0.3"/>
      <pageSetup orientation="portrait" r:id="rId47"/>
    </customSheetView>
    <customSheetView guid="{C50F172B-DE12-4016-8C3C-8DE68B0F5ED6}" scale="80" showGridLines="0">
      <selection activeCell="U27" sqref="U27"/>
      <pageMargins left="0.7" right="0.7" top="0.75" bottom="0.75" header="0.3" footer="0.3"/>
      <pageSetup orientation="portrait" r:id="rId48"/>
    </customSheetView>
    <customSheetView guid="{AA0C715F-89E0-4699-81F4-30981CCB8F32}" scale="80" showGridLines="0">
      <selection activeCell="U27" sqref="U27"/>
      <pageMargins left="0.7" right="0.7" top="0.75" bottom="0.75" header="0.3" footer="0.3"/>
      <pageSetup orientation="portrait" r:id="rId49"/>
    </customSheetView>
    <customSheetView guid="{9AD3C96E-4159-4B4E-BFBB-F2A50B674DB7}" scale="80" showGridLines="0">
      <selection activeCell="U27" sqref="U27"/>
      <pageMargins left="0.7" right="0.7" top="0.75" bottom="0.75" header="0.3" footer="0.3"/>
      <pageSetup orientation="portrait" r:id="rId50"/>
    </customSheetView>
    <customSheetView guid="{100C18DA-74BF-4919-BAFC-58F4A195D60D}" scale="80" showGridLines="0">
      <selection activeCell="U27" sqref="U27"/>
      <pageMargins left="0.7" right="0.7" top="0.75" bottom="0.75" header="0.3" footer="0.3"/>
      <pageSetup orientation="portrait" r:id="rId51"/>
    </customSheetView>
    <customSheetView guid="{73AD7C60-27F8-4EDD-9CDE-F4986F1F3DF5}" scale="80" showGridLines="0">
      <selection activeCell="U27" sqref="U27"/>
      <pageMargins left="0.7" right="0.7" top="0.75" bottom="0.75" header="0.3" footer="0.3"/>
      <pageSetup orientation="portrait" r:id="rId52"/>
    </customSheetView>
    <customSheetView guid="{8D8494A9-A845-41DF-958C-BBE2AFF72415}" scale="80" showGridLines="0">
      <selection activeCell="U27" sqref="U27"/>
      <pageMargins left="0.7" right="0.7" top="0.75" bottom="0.75" header="0.3" footer="0.3"/>
      <pageSetup orientation="portrait" r:id="rId53"/>
    </customSheetView>
    <customSheetView guid="{F76F6C4A-CFD3-4162-959C-931E58DB91DD}" scale="80" showGridLines="0">
      <selection activeCell="U27" sqref="U27"/>
      <pageMargins left="0.7" right="0.7" top="0.75" bottom="0.75" header="0.3" footer="0.3"/>
      <pageSetup orientation="portrait" r:id="rId54"/>
    </customSheetView>
    <customSheetView guid="{76AE1ECF-EF55-4C45-BE7F-8C1F1C37D61D}" scale="80" showGridLines="0">
      <selection activeCell="U27" sqref="U27"/>
      <pageMargins left="0.7" right="0.7" top="0.75" bottom="0.75" header="0.3" footer="0.3"/>
      <pageSetup orientation="portrait" r:id="rId55"/>
    </customSheetView>
    <customSheetView guid="{958A2E22-7DDF-4130-9036-6DE04B671E46}" scale="80" showGridLines="0" topLeftCell="A7">
      <selection activeCell="U27" sqref="U27"/>
      <pageMargins left="0.7" right="0.7" top="0.75" bottom="0.75" header="0.3" footer="0.3"/>
      <pageSetup orientation="portrait" r:id="rId56"/>
    </customSheetView>
    <customSheetView guid="{1374EB63-615D-4348-B087-7EEA761431C1}" scale="80" showGridLines="0">
      <selection activeCell="U27" sqref="U27"/>
      <pageMargins left="0.7" right="0.7" top="0.75" bottom="0.75" header="0.3" footer="0.3"/>
      <pageSetup orientation="portrait" r:id="rId57"/>
    </customSheetView>
    <customSheetView guid="{8A7D4B6B-F7A3-4247-9F47-923F87E74DC1}" scale="80" showGridLines="0" topLeftCell="A4">
      <selection activeCell="U27" sqref="U27"/>
      <pageMargins left="0.7" right="0.7" top="0.75" bottom="0.75" header="0.3" footer="0.3"/>
      <pageSetup orientation="portrait" r:id="rId58"/>
    </customSheetView>
    <customSheetView guid="{E20C6574-2004-417C-93FD-7F6F3A7C1AD4}" scale="80" showGridLines="0" topLeftCell="A4">
      <selection activeCell="R24" sqref="R24"/>
      <pageMargins left="0.7" right="0.7" top="0.75" bottom="0.75" header="0.3" footer="0.3"/>
      <pageSetup orientation="portrait" r:id="rId59"/>
    </customSheetView>
    <customSheetView guid="{C199E203-52E1-47B1-9E01-E98E2F0440B2}" scale="80" showGridLines="0" topLeftCell="A4">
      <selection activeCell="R24" sqref="R24"/>
      <pageMargins left="0.7" right="0.7" top="0.75" bottom="0.75" header="0.3" footer="0.3"/>
      <pageSetup orientation="portrait" r:id="rId60"/>
    </customSheetView>
    <customSheetView guid="{19394946-6A4D-40F0-8132-56019E2CBF47}" scale="80" showGridLines="0">
      <selection activeCell="W10" sqref="W10"/>
      <pageMargins left="0.7" right="0.7" top="0.75" bottom="0.75" header="0.3" footer="0.3"/>
      <pageSetup orientation="portrait" r:id="rId61"/>
    </customSheetView>
  </customSheetViews>
  <pageMargins left="0.7" right="0.7" top="0.75" bottom="0.75" header="0.3" footer="0.3"/>
  <pageSetup orientation="portrait" r:id="rId62"/>
  <drawing r:id="rId63"/>
  <legacyDrawing r:id="rId6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65" name="Button 1">
              <controlPr defaultSize="0" autoFill="0" autoPict="0" macro="[0]!Sheet3.openform">
                <anchor moveWithCells="1" sizeWithCells="1">
                  <from>
                    <xdr:col>14</xdr:col>
                    <xdr:colOff>565150</xdr:colOff>
                    <xdr:row>9</xdr:row>
                    <xdr:rowOff>127000</xdr:rowOff>
                  </from>
                  <to>
                    <xdr:col>19</xdr:col>
                    <xdr:colOff>342900</xdr:colOff>
                    <xdr:row>14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O125"/>
  <sheetViews>
    <sheetView showGridLines="0" workbookViewId="0">
      <selection activeCell="S27" sqref="S26:S27"/>
    </sheetView>
  </sheetViews>
  <sheetFormatPr defaultRowHeight="14.5" x14ac:dyDescent="0.35"/>
  <cols>
    <col min="1" max="1" width="14.54296875" customWidth="1"/>
    <col min="2" max="2" width="13.54296875" customWidth="1"/>
    <col min="3" max="3" width="19.453125" customWidth="1"/>
    <col min="4" max="4" width="20.54296875" bestFit="1" customWidth="1"/>
    <col min="7" max="7" width="28" bestFit="1" customWidth="1"/>
    <col min="8" max="8" width="19" bestFit="1" customWidth="1"/>
    <col min="9" max="9" width="9.54296875" bestFit="1" customWidth="1"/>
    <col min="10" max="10" width="9.54296875" customWidth="1"/>
    <col min="11" max="11" width="8.7265625" customWidth="1"/>
    <col min="12" max="12" width="17.6328125" bestFit="1" customWidth="1"/>
    <col min="13" max="13" width="13.36328125" bestFit="1" customWidth="1"/>
    <col min="14" max="14" width="11.453125" bestFit="1" customWidth="1"/>
    <col min="15" max="15" width="19.453125" customWidth="1"/>
  </cols>
  <sheetData>
    <row r="1" spans="1:15" s="1" customFormat="1" x14ac:dyDescent="0.35">
      <c r="A1" s="2" t="s">
        <v>0</v>
      </c>
      <c r="B1" s="3" t="s">
        <v>1</v>
      </c>
      <c r="C1" s="3" t="s">
        <v>2</v>
      </c>
      <c r="D1" s="4" t="s">
        <v>22</v>
      </c>
      <c r="G1" s="7" t="s">
        <v>57</v>
      </c>
      <c r="H1" s="7"/>
      <c r="I1" s="7"/>
      <c r="J1"/>
      <c r="L1" s="10" t="s">
        <v>21</v>
      </c>
      <c r="M1" s="10"/>
      <c r="N1" s="10"/>
      <c r="O1" s="10"/>
    </row>
    <row r="2" spans="1:15" x14ac:dyDescent="0.35">
      <c r="A2" s="1" t="s">
        <v>150</v>
      </c>
      <c r="B2" s="1" t="s">
        <v>151</v>
      </c>
      <c r="C2" s="1" t="s">
        <v>25</v>
      </c>
      <c r="D2" s="1" t="str">
        <f>A:A&amp;" "&amp;B:B</f>
        <v>Fatty O’Furniture</v>
      </c>
      <c r="G2" s="5" t="s">
        <v>20</v>
      </c>
      <c r="H2" s="5" t="s">
        <v>2</v>
      </c>
      <c r="I2" s="5" t="s">
        <v>24</v>
      </c>
      <c r="L2" s="11" t="s">
        <v>3</v>
      </c>
      <c r="M2" s="11" t="s">
        <v>8</v>
      </c>
      <c r="N2" s="11" t="s">
        <v>9</v>
      </c>
      <c r="O2" s="11" t="s">
        <v>23</v>
      </c>
    </row>
    <row r="3" spans="1:15" x14ac:dyDescent="0.35">
      <c r="A3" t="s">
        <v>152</v>
      </c>
      <c r="B3" t="s">
        <v>151</v>
      </c>
      <c r="C3" s="1" t="s">
        <v>5</v>
      </c>
      <c r="D3" s="1" t="str">
        <f t="shared" ref="D3:D61" si="0">A:A&amp;" "&amp;B:B</f>
        <v>Paddy O’Furniture</v>
      </c>
      <c r="G3" s="6" t="s">
        <v>149</v>
      </c>
      <c r="H3" s="6" t="s">
        <v>25</v>
      </c>
      <c r="I3" s="6" t="str">
        <f>IF(ISNUMBER(MATCH(G3,D:D,0)),"YES","NO")</f>
        <v>YES</v>
      </c>
      <c r="L3" s="8" t="s">
        <v>25</v>
      </c>
      <c r="M3" s="8">
        <f>COUNTIF(H:H,L3)</f>
        <v>7</v>
      </c>
      <c r="N3" s="8">
        <f>COUNTIF('DATA RECORD'!$C$2:$C$266,L3)</f>
        <v>6</v>
      </c>
      <c r="O3" s="9">
        <f>IFERROR(N3/M3,"")</f>
        <v>0.8571428571428571</v>
      </c>
    </row>
    <row r="4" spans="1:15" x14ac:dyDescent="0.35">
      <c r="A4" t="s">
        <v>153</v>
      </c>
      <c r="B4" t="s">
        <v>154</v>
      </c>
      <c r="C4" s="1" t="s">
        <v>4</v>
      </c>
      <c r="D4" s="1" t="str">
        <f t="shared" si="0"/>
        <v>Olive Yew</v>
      </c>
      <c r="G4" s="6" t="s">
        <v>77</v>
      </c>
      <c r="H4" s="6" t="s">
        <v>5</v>
      </c>
      <c r="I4" s="6" t="str">
        <f>IF(ISNUMBER(MATCH(G4,D:D,0)),"YES","NO")</f>
        <v>YES</v>
      </c>
      <c r="L4" s="8" t="s">
        <v>5</v>
      </c>
      <c r="M4" s="8">
        <f>COUNTIF(H:H,L4)</f>
        <v>9</v>
      </c>
      <c r="N4" s="8">
        <f>COUNTIF('DATA RECORD'!$C$2:$C$266,L4)</f>
        <v>5</v>
      </c>
      <c r="O4" s="9">
        <f t="shared" ref="O4:O16" si="1">IFERROR(N4/M4,"")</f>
        <v>0.55555555555555558</v>
      </c>
    </row>
    <row r="5" spans="1:15" x14ac:dyDescent="0.35">
      <c r="A5" t="s">
        <v>155</v>
      </c>
      <c r="B5" t="s">
        <v>156</v>
      </c>
      <c r="C5" t="s">
        <v>5</v>
      </c>
      <c r="D5" s="1" t="str">
        <f t="shared" si="0"/>
        <v>Aida Bugg</v>
      </c>
      <c r="G5" s="6" t="s">
        <v>78</v>
      </c>
      <c r="H5" s="6" t="s">
        <v>4</v>
      </c>
      <c r="I5" s="6" t="str">
        <f>IF(ISNUMBER(MATCH(G5,D:D,0)),"YES","NO")</f>
        <v>YES</v>
      </c>
      <c r="L5" s="8" t="s">
        <v>4</v>
      </c>
      <c r="M5" s="8">
        <f>COUNTIF(H:H,L5)</f>
        <v>4</v>
      </c>
      <c r="N5" s="8">
        <f>COUNTIF('DATA RECORD'!$C$2:$C$266,L5)</f>
        <v>4</v>
      </c>
      <c r="O5" s="9">
        <f t="shared" si="1"/>
        <v>1</v>
      </c>
    </row>
    <row r="6" spans="1:15" x14ac:dyDescent="0.35">
      <c r="A6" t="s">
        <v>157</v>
      </c>
      <c r="B6" t="s">
        <v>158</v>
      </c>
      <c r="C6" t="s">
        <v>26</v>
      </c>
      <c r="D6" s="1" t="str">
        <f t="shared" si="0"/>
        <v>Maureen Biologist</v>
      </c>
      <c r="G6" s="6" t="s">
        <v>79</v>
      </c>
      <c r="H6" s="6" t="s">
        <v>5</v>
      </c>
      <c r="I6" s="6" t="str">
        <f>IF(ISNUMBER(MATCH(G6,D:D,0)),"YES","NO")</f>
        <v>YES</v>
      </c>
      <c r="L6" s="8" t="s">
        <v>26</v>
      </c>
      <c r="M6" s="8">
        <f>COUNTIF(H:H,L6)</f>
        <v>11</v>
      </c>
      <c r="N6" s="8">
        <f>COUNTIF('DATA RECORD'!$C$2:$C$266,L6)</f>
        <v>7</v>
      </c>
      <c r="O6" s="9">
        <f t="shared" si="1"/>
        <v>0.63636363636363635</v>
      </c>
    </row>
    <row r="7" spans="1:15" x14ac:dyDescent="0.35">
      <c r="A7" t="s">
        <v>159</v>
      </c>
      <c r="B7" t="s">
        <v>160</v>
      </c>
      <c r="C7" t="s">
        <v>27</v>
      </c>
      <c r="D7" s="1" t="str">
        <f t="shared" si="0"/>
        <v>Teri Dactyl</v>
      </c>
      <c r="G7" s="6" t="s">
        <v>80</v>
      </c>
      <c r="H7" s="6" t="s">
        <v>26</v>
      </c>
      <c r="I7" s="6" t="str">
        <f>IF(ISNUMBER(MATCH(G7,D:D,0)),"YES","NO")</f>
        <v>YES</v>
      </c>
      <c r="L7" s="8" t="s">
        <v>27</v>
      </c>
      <c r="M7" s="8">
        <f>COUNTIF(H:H,L7)</f>
        <v>9</v>
      </c>
      <c r="N7" s="8">
        <f>COUNTIF('DATA RECORD'!$C$2:$C$266,L7)</f>
        <v>4</v>
      </c>
      <c r="O7" s="9">
        <f t="shared" si="1"/>
        <v>0.44444444444444442</v>
      </c>
    </row>
    <row r="8" spans="1:15" x14ac:dyDescent="0.35">
      <c r="A8" t="s">
        <v>161</v>
      </c>
      <c r="B8" t="s">
        <v>162</v>
      </c>
      <c r="C8" t="s">
        <v>28</v>
      </c>
      <c r="D8" s="1" t="str">
        <f t="shared" si="0"/>
        <v>Peg Legge</v>
      </c>
      <c r="G8" s="6" t="s">
        <v>81</v>
      </c>
      <c r="H8" s="6" t="s">
        <v>27</v>
      </c>
      <c r="I8" s="6" t="str">
        <f>IF(ISNUMBER(MATCH(G8,D:D,0)),"YES","NO")</f>
        <v>YES</v>
      </c>
      <c r="L8" s="8" t="s">
        <v>28</v>
      </c>
      <c r="M8" s="8">
        <f>COUNTIF(H:H,L8)</f>
        <v>22</v>
      </c>
      <c r="N8" s="8">
        <f>COUNTIF('DATA RECORD'!$C$2:$C$266,L8)</f>
        <v>11</v>
      </c>
      <c r="O8" s="9">
        <f t="shared" si="1"/>
        <v>0.5</v>
      </c>
    </row>
    <row r="9" spans="1:15" x14ac:dyDescent="0.35">
      <c r="A9" t="s">
        <v>163</v>
      </c>
      <c r="B9" t="s">
        <v>164</v>
      </c>
      <c r="C9" t="s">
        <v>27</v>
      </c>
      <c r="D9" s="1" t="str">
        <f t="shared" si="0"/>
        <v>Allie Grater</v>
      </c>
      <c r="G9" s="6" t="s">
        <v>82</v>
      </c>
      <c r="H9" s="6" t="s">
        <v>28</v>
      </c>
      <c r="I9" s="6" t="str">
        <f>IF(ISNUMBER(MATCH(G9,D:D,0)),"YES","NO")</f>
        <v>YES</v>
      </c>
      <c r="L9" s="8" t="s">
        <v>16</v>
      </c>
      <c r="M9" s="8">
        <f>COUNTIF(H:H,L9)</f>
        <v>9</v>
      </c>
      <c r="N9" s="8">
        <f>COUNTIF('DATA RECORD'!$C$2:$C$266,L9)</f>
        <v>4</v>
      </c>
      <c r="O9" s="9">
        <f t="shared" si="1"/>
        <v>0.44444444444444442</v>
      </c>
    </row>
    <row r="10" spans="1:15" x14ac:dyDescent="0.35">
      <c r="A10" t="s">
        <v>165</v>
      </c>
      <c r="B10" t="s">
        <v>166</v>
      </c>
      <c r="C10" t="s">
        <v>28</v>
      </c>
      <c r="D10" s="1" t="str">
        <f t="shared" si="0"/>
        <v>Liz Erd</v>
      </c>
      <c r="G10" s="6" t="s">
        <v>83</v>
      </c>
      <c r="H10" s="6" t="s">
        <v>27</v>
      </c>
      <c r="I10" s="6" t="str">
        <f>IF(ISNUMBER(MATCH(G10,D:D,0)),"YES","NO")</f>
        <v>YES</v>
      </c>
      <c r="L10" s="8" t="s">
        <v>29</v>
      </c>
      <c r="M10" s="8">
        <f>COUNTIF(H:H,L10)</f>
        <v>5</v>
      </c>
      <c r="N10" s="8">
        <f>COUNTIF('DATA RECORD'!$C$2:$C$266,L10)</f>
        <v>3</v>
      </c>
      <c r="O10" s="9">
        <f t="shared" si="1"/>
        <v>0.6</v>
      </c>
    </row>
    <row r="11" spans="1:15" x14ac:dyDescent="0.35">
      <c r="A11" t="s">
        <v>167</v>
      </c>
      <c r="B11" t="s">
        <v>168</v>
      </c>
      <c r="C11" t="s">
        <v>26</v>
      </c>
      <c r="D11" s="1" t="str">
        <f t="shared" si="0"/>
        <v>A. Mused</v>
      </c>
      <c r="G11" s="6" t="s">
        <v>84</v>
      </c>
      <c r="H11" s="6" t="s">
        <v>28</v>
      </c>
      <c r="I11" s="6" t="str">
        <f>IF(ISNUMBER(MATCH(G11,D:D,0)),"YES","NO")</f>
        <v>YES</v>
      </c>
      <c r="L11" s="8" t="s">
        <v>30</v>
      </c>
      <c r="M11" s="8">
        <f>COUNTIF(H:H,L11)</f>
        <v>17</v>
      </c>
      <c r="N11" s="8">
        <f>COUNTIF('DATA RECORD'!$C$2:$C$266,L11)</f>
        <v>8</v>
      </c>
      <c r="O11" s="9">
        <f t="shared" si="1"/>
        <v>0.47058823529411764</v>
      </c>
    </row>
    <row r="12" spans="1:15" x14ac:dyDescent="0.35">
      <c r="A12" t="s">
        <v>169</v>
      </c>
      <c r="B12" t="s">
        <v>170</v>
      </c>
      <c r="C12" t="s">
        <v>16</v>
      </c>
      <c r="D12" s="1" t="str">
        <f t="shared" si="0"/>
        <v>Constance Noring</v>
      </c>
      <c r="G12" s="6" t="s">
        <v>85</v>
      </c>
      <c r="H12" s="6" t="s">
        <v>26</v>
      </c>
      <c r="I12" s="6" t="str">
        <f>IF(ISNUMBER(MATCH(G12,D:D,0)),"YES","NO")</f>
        <v>YES</v>
      </c>
      <c r="L12" s="8" t="s">
        <v>6</v>
      </c>
      <c r="M12" s="8">
        <f>COUNTIF(H:H,L12)</f>
        <v>5</v>
      </c>
      <c r="N12" s="8">
        <f>COUNTIF('DATA RECORD'!$C$2:$C$266,L12)</f>
        <v>4</v>
      </c>
      <c r="O12" s="9">
        <f t="shared" si="1"/>
        <v>0.8</v>
      </c>
    </row>
    <row r="13" spans="1:15" x14ac:dyDescent="0.35">
      <c r="A13" t="s">
        <v>171</v>
      </c>
      <c r="B13" t="s">
        <v>172</v>
      </c>
      <c r="C13" t="s">
        <v>16</v>
      </c>
      <c r="D13" s="1" t="str">
        <f t="shared" si="0"/>
        <v>Lois Di Nominator</v>
      </c>
      <c r="G13" s="6" t="s">
        <v>86</v>
      </c>
      <c r="H13" s="6" t="s">
        <v>16</v>
      </c>
      <c r="I13" s="6" t="str">
        <f>IF(ISNUMBER(MATCH(G13,D:D,0)),"YES","NO")</f>
        <v>YES</v>
      </c>
      <c r="L13" s="8" t="s">
        <v>7</v>
      </c>
      <c r="M13" s="8">
        <f>COUNTIF(H:H,L13)</f>
        <v>14</v>
      </c>
      <c r="N13" s="8">
        <f>COUNTIF('DATA RECORD'!$C$2:$C$266,L13)</f>
        <v>2</v>
      </c>
      <c r="O13" s="9">
        <f t="shared" si="1"/>
        <v>0.14285714285714285</v>
      </c>
    </row>
    <row r="14" spans="1:15" x14ac:dyDescent="0.35">
      <c r="A14" t="s">
        <v>173</v>
      </c>
      <c r="B14" t="s">
        <v>174</v>
      </c>
      <c r="C14" t="s">
        <v>29</v>
      </c>
      <c r="D14" s="1" t="str">
        <f t="shared" si="0"/>
        <v>Minnie Van Ryder</v>
      </c>
      <c r="G14" s="6" t="s">
        <v>87</v>
      </c>
      <c r="H14" s="6" t="s">
        <v>16</v>
      </c>
      <c r="I14" s="6" t="str">
        <f>IF(ISNUMBER(MATCH(G14,D:D,0)),"YES","NO")</f>
        <v>YES</v>
      </c>
      <c r="L14" s="8" t="s">
        <v>10</v>
      </c>
      <c r="M14" s="8">
        <f>COUNTIF(H:H,L14)</f>
        <v>6</v>
      </c>
      <c r="N14" s="8">
        <f>COUNTIF('DATA RECORD'!$C$2:$C$266,L14)</f>
        <v>2</v>
      </c>
      <c r="O14" s="9">
        <f t="shared" si="1"/>
        <v>0.33333333333333331</v>
      </c>
    </row>
    <row r="15" spans="1:15" x14ac:dyDescent="0.35">
      <c r="A15" t="s">
        <v>175</v>
      </c>
      <c r="B15" t="s">
        <v>176</v>
      </c>
      <c r="C15" t="s">
        <v>30</v>
      </c>
      <c r="D15" s="1" t="str">
        <f t="shared" si="0"/>
        <v>Lynn O’Leeum</v>
      </c>
      <c r="G15" s="6" t="s">
        <v>88</v>
      </c>
      <c r="H15" s="6" t="s">
        <v>29</v>
      </c>
      <c r="I15" s="6" t="str">
        <f>IF(ISNUMBER(MATCH(G15,D:D,0)),"YES","NO")</f>
        <v>YES</v>
      </c>
      <c r="L15" s="8" t="s">
        <v>31</v>
      </c>
      <c r="M15" s="8">
        <f>COUNTIF(H:H,L15)</f>
        <v>2</v>
      </c>
      <c r="N15" s="8">
        <f>COUNTIF('DATA RECORD'!$C$2:$C$266,L15)</f>
        <v>0</v>
      </c>
      <c r="O15" s="9">
        <f t="shared" si="1"/>
        <v>0</v>
      </c>
    </row>
    <row r="16" spans="1:15" x14ac:dyDescent="0.35">
      <c r="A16" t="s">
        <v>177</v>
      </c>
      <c r="B16" t="s">
        <v>178</v>
      </c>
      <c r="C16" t="s">
        <v>28</v>
      </c>
      <c r="D16" s="1" t="str">
        <f t="shared" si="0"/>
        <v>P. Ann O’Recital</v>
      </c>
      <c r="G16" s="6" t="s">
        <v>89</v>
      </c>
      <c r="H16" s="6" t="s">
        <v>30</v>
      </c>
      <c r="I16" s="6" t="str">
        <f>IF(ISNUMBER(MATCH(G16,D:D,0)),"YES","NO")</f>
        <v>YES</v>
      </c>
      <c r="L16" s="8" t="s">
        <v>12</v>
      </c>
      <c r="M16" s="8">
        <f>COUNTIF(H:H,L16)</f>
        <v>3</v>
      </c>
      <c r="N16" s="8">
        <f>COUNTIF('DATA RECORD'!$C$2:$C$266,L16)</f>
        <v>0</v>
      </c>
      <c r="O16" s="9">
        <f t="shared" si="1"/>
        <v>0</v>
      </c>
    </row>
    <row r="17" spans="1:14" x14ac:dyDescent="0.35">
      <c r="A17" t="s">
        <v>179</v>
      </c>
      <c r="B17" t="s">
        <v>180</v>
      </c>
      <c r="C17" t="s">
        <v>6</v>
      </c>
      <c r="D17" s="1" t="str">
        <f t="shared" si="0"/>
        <v>Ray O’Sun</v>
      </c>
      <c r="G17" s="6" t="s">
        <v>90</v>
      </c>
      <c r="H17" s="6" t="s">
        <v>28</v>
      </c>
      <c r="I17" s="6" t="str">
        <f>IF(ISNUMBER(MATCH(G17,D:D,0)),"YES","NO")</f>
        <v>YES</v>
      </c>
      <c r="L17" s="1"/>
      <c r="M17" s="1"/>
      <c r="N17" s="1"/>
    </row>
    <row r="18" spans="1:14" x14ac:dyDescent="0.35">
      <c r="A18" t="s">
        <v>181</v>
      </c>
      <c r="B18" t="s">
        <v>182</v>
      </c>
      <c r="C18" t="s">
        <v>26</v>
      </c>
      <c r="D18" s="1" t="str">
        <f t="shared" si="0"/>
        <v>Lee A. Sun</v>
      </c>
      <c r="G18" s="6" t="s">
        <v>91</v>
      </c>
      <c r="H18" s="6" t="s">
        <v>6</v>
      </c>
      <c r="I18" s="6" t="str">
        <f>IF(ISNUMBER(MATCH(G18,D:D,0)),"YES","NO")</f>
        <v>YES</v>
      </c>
      <c r="L18" s="1"/>
      <c r="M18" s="1"/>
      <c r="N18" s="1"/>
    </row>
    <row r="19" spans="1:14" x14ac:dyDescent="0.35">
      <c r="A19" t="s">
        <v>179</v>
      </c>
      <c r="B19" t="s">
        <v>183</v>
      </c>
      <c r="C19" t="s">
        <v>27</v>
      </c>
      <c r="D19" s="1" t="str">
        <f t="shared" si="0"/>
        <v>Ray Sin</v>
      </c>
      <c r="G19" s="6" t="s">
        <v>92</v>
      </c>
      <c r="H19" s="6" t="s">
        <v>26</v>
      </c>
      <c r="I19" s="6" t="str">
        <f>IF(ISNUMBER(MATCH(G19,D:D,0)),"YES","NO")</f>
        <v>YES</v>
      </c>
      <c r="L19" s="1"/>
      <c r="M19" s="1"/>
      <c r="N19" s="1"/>
    </row>
    <row r="20" spans="1:14" x14ac:dyDescent="0.35">
      <c r="A20" t="s">
        <v>184</v>
      </c>
      <c r="B20" t="s">
        <v>185</v>
      </c>
      <c r="C20" t="s">
        <v>30</v>
      </c>
      <c r="D20" s="1" t="str">
        <f t="shared" si="0"/>
        <v>Isabelle Ringing</v>
      </c>
      <c r="G20" s="6" t="s">
        <v>93</v>
      </c>
      <c r="H20" s="6" t="s">
        <v>27</v>
      </c>
      <c r="I20" s="6" t="str">
        <f>IF(ISNUMBER(MATCH(G20,D:D,0)),"YES","NO")</f>
        <v>YES</v>
      </c>
      <c r="L20" s="1"/>
      <c r="M20" s="1"/>
      <c r="N20" s="1"/>
    </row>
    <row r="21" spans="1:14" x14ac:dyDescent="0.35">
      <c r="A21" t="s">
        <v>186</v>
      </c>
      <c r="B21" t="s">
        <v>187</v>
      </c>
      <c r="C21" t="s">
        <v>29</v>
      </c>
      <c r="D21" s="1" t="str">
        <f t="shared" si="0"/>
        <v>Eileen Sideways</v>
      </c>
      <c r="G21" s="6" t="s">
        <v>94</v>
      </c>
      <c r="H21" s="6" t="s">
        <v>30</v>
      </c>
      <c r="I21" s="6" t="str">
        <f>IF(ISNUMBER(MATCH(G21,D:D,0)),"YES","NO")</f>
        <v>YES</v>
      </c>
      <c r="L21" s="1"/>
      <c r="M21" s="1"/>
      <c r="N21" s="1"/>
    </row>
    <row r="22" spans="1:14" x14ac:dyDescent="0.35">
      <c r="A22" t="s">
        <v>188</v>
      </c>
      <c r="B22" t="s">
        <v>189</v>
      </c>
      <c r="C22" t="s">
        <v>4</v>
      </c>
      <c r="D22" s="1" t="str">
        <f t="shared" si="0"/>
        <v>Rita Book</v>
      </c>
      <c r="G22" s="6" t="s">
        <v>95</v>
      </c>
      <c r="H22" s="6" t="s">
        <v>29</v>
      </c>
      <c r="I22" s="6" t="str">
        <f>IF(ISNUMBER(MATCH(G22,D:D,0)),"YES","NO")</f>
        <v>YES</v>
      </c>
      <c r="L22" s="1"/>
      <c r="M22" s="1"/>
      <c r="N22" s="1"/>
    </row>
    <row r="23" spans="1:14" x14ac:dyDescent="0.35">
      <c r="A23" t="s">
        <v>190</v>
      </c>
      <c r="B23" t="s">
        <v>191</v>
      </c>
      <c r="C23" t="s">
        <v>5</v>
      </c>
      <c r="D23" s="1" t="str">
        <f t="shared" si="0"/>
        <v>Paige Turner</v>
      </c>
      <c r="G23" s="6" t="s">
        <v>96</v>
      </c>
      <c r="H23" s="6" t="s">
        <v>4</v>
      </c>
      <c r="I23" s="6" t="str">
        <f>IF(ISNUMBER(MATCH(G23,D:D,0)),"YES","NO")</f>
        <v>YES</v>
      </c>
      <c r="L23" s="1"/>
      <c r="M23" s="1"/>
      <c r="N23" s="1"/>
    </row>
    <row r="24" spans="1:14" x14ac:dyDescent="0.35">
      <c r="A24" t="s">
        <v>192</v>
      </c>
      <c r="B24" t="s">
        <v>23</v>
      </c>
      <c r="C24" t="s">
        <v>4</v>
      </c>
      <c r="D24" s="1" t="str">
        <f t="shared" si="0"/>
        <v>Rhoda Report</v>
      </c>
      <c r="G24" s="6" t="s">
        <v>97</v>
      </c>
      <c r="H24" s="6" t="s">
        <v>5</v>
      </c>
      <c r="I24" s="6" t="str">
        <f>IF(ISNUMBER(MATCH(G24,D:D,0)),"YES","NO")</f>
        <v>YES</v>
      </c>
      <c r="L24" s="1"/>
      <c r="M24" s="1"/>
      <c r="N24" s="1"/>
    </row>
    <row r="25" spans="1:14" x14ac:dyDescent="0.35">
      <c r="A25" t="s">
        <v>193</v>
      </c>
      <c r="B25" t="s">
        <v>194</v>
      </c>
      <c r="C25" t="s">
        <v>30</v>
      </c>
      <c r="D25" s="1" t="str">
        <f t="shared" si="0"/>
        <v>Augusta Wind</v>
      </c>
      <c r="G25" s="6" t="s">
        <v>98</v>
      </c>
      <c r="H25" s="6" t="s">
        <v>4</v>
      </c>
      <c r="I25" s="6" t="str">
        <f>IF(ISNUMBER(MATCH(G25,D:D,0)),"YES","NO")</f>
        <v>YES</v>
      </c>
      <c r="L25" s="1"/>
      <c r="M25" s="1"/>
      <c r="N25" s="1"/>
    </row>
    <row r="26" spans="1:14" x14ac:dyDescent="0.35">
      <c r="A26" t="s">
        <v>56</v>
      </c>
      <c r="B26" t="s">
        <v>195</v>
      </c>
      <c r="C26" t="s">
        <v>4</v>
      </c>
      <c r="D26" s="1" t="str">
        <f t="shared" si="0"/>
        <v>Chris Anthemum</v>
      </c>
      <c r="G26" s="6" t="s">
        <v>99</v>
      </c>
      <c r="H26" s="6" t="s">
        <v>30</v>
      </c>
      <c r="I26" s="6" t="str">
        <f>IF(ISNUMBER(MATCH(G26,D:D,0)),"YES","NO")</f>
        <v>YES</v>
      </c>
      <c r="L26" s="1"/>
      <c r="M26" s="1"/>
      <c r="N26" s="1"/>
    </row>
    <row r="27" spans="1:14" x14ac:dyDescent="0.35">
      <c r="A27" t="s">
        <v>196</v>
      </c>
      <c r="B27" t="s">
        <v>197</v>
      </c>
      <c r="C27" t="s">
        <v>7</v>
      </c>
      <c r="D27" s="1" t="str">
        <f t="shared" si="0"/>
        <v>Anne Teak</v>
      </c>
      <c r="G27" s="6" t="s">
        <v>100</v>
      </c>
      <c r="H27" s="6" t="s">
        <v>4</v>
      </c>
      <c r="I27" s="6" t="str">
        <f>IF(ISNUMBER(MATCH(G27,D:D,0)),"YES","NO")</f>
        <v>YES</v>
      </c>
      <c r="L27" s="1"/>
      <c r="M27" s="1"/>
      <c r="N27" s="1"/>
    </row>
    <row r="28" spans="1:14" x14ac:dyDescent="0.35">
      <c r="A28" t="s">
        <v>198</v>
      </c>
      <c r="B28" t="s">
        <v>199</v>
      </c>
      <c r="C28" t="s">
        <v>6</v>
      </c>
      <c r="D28" s="1" t="str">
        <f t="shared" si="0"/>
        <v>U.R. Nice</v>
      </c>
      <c r="G28" s="6" t="s">
        <v>101</v>
      </c>
      <c r="H28" s="6" t="s">
        <v>7</v>
      </c>
      <c r="I28" s="6" t="str">
        <f>IF(ISNUMBER(MATCH(G28,D:D,0)),"YES","NO")</f>
        <v>YES</v>
      </c>
      <c r="L28" s="1"/>
      <c r="M28" s="1"/>
      <c r="N28" s="1"/>
    </row>
    <row r="29" spans="1:14" x14ac:dyDescent="0.35">
      <c r="A29" t="s">
        <v>200</v>
      </c>
      <c r="B29" t="s">
        <v>201</v>
      </c>
      <c r="C29" t="s">
        <v>16</v>
      </c>
      <c r="D29" s="1" t="str">
        <f t="shared" si="0"/>
        <v>Anita Bath</v>
      </c>
      <c r="G29" s="6" t="s">
        <v>102</v>
      </c>
      <c r="H29" s="6" t="s">
        <v>6</v>
      </c>
      <c r="I29" s="6" t="str">
        <f>IF(ISNUMBER(MATCH(G29,D:D,0)),"YES","NO")</f>
        <v>YES</v>
      </c>
      <c r="L29" s="1"/>
      <c r="M29" s="1"/>
      <c r="N29" s="1"/>
    </row>
    <row r="30" spans="1:14" x14ac:dyDescent="0.35">
      <c r="A30" t="s">
        <v>202</v>
      </c>
      <c r="B30" t="s">
        <v>203</v>
      </c>
      <c r="C30" t="s">
        <v>25</v>
      </c>
      <c r="D30" s="1" t="str">
        <f t="shared" si="0"/>
        <v>Harriet Upp</v>
      </c>
      <c r="G30" s="6" t="s">
        <v>103</v>
      </c>
      <c r="H30" s="6" t="s">
        <v>16</v>
      </c>
      <c r="I30" s="6" t="str">
        <f>IF(ISNUMBER(MATCH(G30,D:D,0)),"YES","NO")</f>
        <v>YES</v>
      </c>
      <c r="L30" s="1"/>
      <c r="M30" s="1"/>
      <c r="N30" s="1"/>
    </row>
    <row r="31" spans="1:14" x14ac:dyDescent="0.35">
      <c r="A31" t="s">
        <v>204</v>
      </c>
      <c r="B31" t="s">
        <v>205</v>
      </c>
      <c r="C31" t="s">
        <v>30</v>
      </c>
      <c r="D31" s="1" t="str">
        <f t="shared" si="0"/>
        <v>I.M. Tired</v>
      </c>
      <c r="G31" s="6" t="s">
        <v>104</v>
      </c>
      <c r="H31" s="6" t="s">
        <v>25</v>
      </c>
      <c r="I31" s="6" t="str">
        <f>IF(ISNUMBER(MATCH(G31,D:D,0)),"YES","NO")</f>
        <v>YES</v>
      </c>
      <c r="L31" s="1"/>
      <c r="M31" s="1"/>
      <c r="N31" s="1"/>
    </row>
    <row r="32" spans="1:14" x14ac:dyDescent="0.35">
      <c r="A32" t="s">
        <v>206</v>
      </c>
      <c r="B32" t="s">
        <v>207</v>
      </c>
      <c r="C32" t="s">
        <v>25</v>
      </c>
      <c r="D32" s="1" t="str">
        <f t="shared" si="0"/>
        <v>I. Missy Ewe</v>
      </c>
      <c r="G32" s="6" t="s">
        <v>105</v>
      </c>
      <c r="H32" s="6" t="s">
        <v>30</v>
      </c>
      <c r="I32" s="6" t="str">
        <f>IF(ISNUMBER(MATCH(G32,D:D,0)),"YES","NO")</f>
        <v>YES</v>
      </c>
      <c r="L32" s="1"/>
      <c r="M32" s="1"/>
      <c r="N32" s="1"/>
    </row>
    <row r="33" spans="1:14" x14ac:dyDescent="0.35">
      <c r="A33" t="s">
        <v>208</v>
      </c>
      <c r="B33" t="s">
        <v>209</v>
      </c>
      <c r="C33" t="s">
        <v>25</v>
      </c>
      <c r="D33" s="1" t="str">
        <f t="shared" si="0"/>
        <v>Ivana B. Withew</v>
      </c>
      <c r="G33" s="6" t="s">
        <v>106</v>
      </c>
      <c r="H33" s="6" t="s">
        <v>25</v>
      </c>
      <c r="I33" s="6" t="str">
        <f>IF(ISNUMBER(MATCH(G33,D:D,0)),"YES","NO")</f>
        <v>YES</v>
      </c>
      <c r="L33" s="1"/>
      <c r="M33" s="1"/>
      <c r="N33" s="1"/>
    </row>
    <row r="34" spans="1:14" x14ac:dyDescent="0.35">
      <c r="A34" t="s">
        <v>200</v>
      </c>
      <c r="B34" t="s">
        <v>210</v>
      </c>
      <c r="C34" t="s">
        <v>5</v>
      </c>
      <c r="D34" s="1" t="str">
        <f t="shared" si="0"/>
        <v>Anita Letterback</v>
      </c>
      <c r="G34" s="6" t="s">
        <v>107</v>
      </c>
      <c r="H34" s="6" t="s">
        <v>25</v>
      </c>
      <c r="I34" s="6" t="str">
        <f>IF(ISNUMBER(MATCH(G34,D:D,0)),"YES","NO")</f>
        <v>YES</v>
      </c>
      <c r="L34" s="1"/>
      <c r="M34" s="1"/>
      <c r="N34" s="1"/>
    </row>
    <row r="35" spans="1:14" x14ac:dyDescent="0.35">
      <c r="A35" t="s">
        <v>211</v>
      </c>
      <c r="B35" t="s">
        <v>212</v>
      </c>
      <c r="C35" t="s">
        <v>28</v>
      </c>
      <c r="D35" s="1" t="str">
        <f t="shared" si="0"/>
        <v>Hope Furaletter</v>
      </c>
      <c r="G35" s="6" t="s">
        <v>108</v>
      </c>
      <c r="H35" s="6" t="s">
        <v>5</v>
      </c>
      <c r="I35" s="6" t="str">
        <f>IF(ISNUMBER(MATCH(G35,D:D,0)),"YES","NO")</f>
        <v>YES</v>
      </c>
      <c r="L35" s="1"/>
      <c r="M35" s="1"/>
      <c r="N35" s="1"/>
    </row>
    <row r="36" spans="1:14" x14ac:dyDescent="0.35">
      <c r="A36" t="s">
        <v>213</v>
      </c>
      <c r="B36" t="s">
        <v>214</v>
      </c>
      <c r="C36" t="s">
        <v>28</v>
      </c>
      <c r="D36" s="1" t="str">
        <f t="shared" si="0"/>
        <v>B. Homesoon</v>
      </c>
      <c r="G36" s="6" t="s">
        <v>109</v>
      </c>
      <c r="H36" s="6" t="s">
        <v>28</v>
      </c>
      <c r="I36" s="6" t="str">
        <f>IF(ISNUMBER(MATCH(G36,D:D,0)),"YES","NO")</f>
        <v>YES</v>
      </c>
      <c r="L36" s="1"/>
      <c r="M36" s="1"/>
      <c r="N36" s="1"/>
    </row>
    <row r="37" spans="1:14" x14ac:dyDescent="0.35">
      <c r="A37" t="s">
        <v>215</v>
      </c>
      <c r="B37" t="s">
        <v>216</v>
      </c>
      <c r="C37" t="s">
        <v>10</v>
      </c>
      <c r="D37" s="1" t="str">
        <f t="shared" si="0"/>
        <v>Bea Mine</v>
      </c>
      <c r="G37" s="6" t="s">
        <v>110</v>
      </c>
      <c r="H37" s="6" t="s">
        <v>28</v>
      </c>
      <c r="I37" s="6" t="str">
        <f>IF(ISNUMBER(MATCH(G37,D:D,0)),"YES","NO")</f>
        <v>YES</v>
      </c>
      <c r="L37" s="1"/>
      <c r="M37" s="1"/>
      <c r="N37" s="1"/>
    </row>
    <row r="38" spans="1:14" x14ac:dyDescent="0.35">
      <c r="A38" t="s">
        <v>217</v>
      </c>
      <c r="B38" t="s">
        <v>218</v>
      </c>
      <c r="C38" t="s">
        <v>28</v>
      </c>
      <c r="D38" s="1" t="str">
        <f t="shared" si="0"/>
        <v>Bess Twishes</v>
      </c>
      <c r="G38" s="6" t="s">
        <v>111</v>
      </c>
      <c r="H38" s="6" t="s">
        <v>10</v>
      </c>
      <c r="I38" s="6" t="str">
        <f>IF(ISNUMBER(MATCH(G38,D:D,0)),"YES","NO")</f>
        <v>YES</v>
      </c>
      <c r="L38" s="1"/>
      <c r="M38" s="1"/>
      <c r="N38" s="1"/>
    </row>
    <row r="39" spans="1:14" x14ac:dyDescent="0.35">
      <c r="A39" t="s">
        <v>219</v>
      </c>
      <c r="B39" t="s">
        <v>220</v>
      </c>
      <c r="C39" t="s">
        <v>6</v>
      </c>
      <c r="D39" s="1" t="str">
        <f t="shared" si="0"/>
        <v>C. Yasoon</v>
      </c>
      <c r="G39" s="6" t="s">
        <v>112</v>
      </c>
      <c r="H39" s="6" t="s">
        <v>28</v>
      </c>
      <c r="I39" s="6" t="str">
        <f>IF(ISNUMBER(MATCH(G39,D:D,0)),"YES","NO")</f>
        <v>YES</v>
      </c>
      <c r="L39" s="1"/>
      <c r="M39" s="1"/>
      <c r="N39" s="1"/>
    </row>
    <row r="40" spans="1:14" x14ac:dyDescent="0.35">
      <c r="A40" t="s">
        <v>221</v>
      </c>
      <c r="B40" t="s">
        <v>222</v>
      </c>
      <c r="C40" t="s">
        <v>5</v>
      </c>
      <c r="D40" s="1" t="str">
        <f t="shared" si="0"/>
        <v>Audie Yose</v>
      </c>
      <c r="G40" s="6" t="s">
        <v>113</v>
      </c>
      <c r="H40" s="6" t="s">
        <v>6</v>
      </c>
      <c r="I40" s="6" t="str">
        <f>IF(ISNUMBER(MATCH(G40,D:D,0)),"YES","NO")</f>
        <v>YES</v>
      </c>
      <c r="L40" s="1"/>
      <c r="M40" s="1"/>
      <c r="N40" s="1"/>
    </row>
    <row r="41" spans="1:14" x14ac:dyDescent="0.35">
      <c r="A41" t="s">
        <v>223</v>
      </c>
      <c r="B41" t="s">
        <v>224</v>
      </c>
      <c r="C41" t="s">
        <v>28</v>
      </c>
      <c r="D41" s="1" t="str">
        <f t="shared" si="0"/>
        <v>Dee End</v>
      </c>
      <c r="G41" s="6" t="s">
        <v>114</v>
      </c>
      <c r="H41" s="6" t="s">
        <v>5</v>
      </c>
      <c r="I41" s="6" t="str">
        <f>IF(ISNUMBER(MATCH(G41,D:D,0)),"YES","NO")</f>
        <v>YES</v>
      </c>
      <c r="L41" s="1"/>
      <c r="M41" s="1"/>
      <c r="N41" s="1"/>
    </row>
    <row r="42" spans="1:14" x14ac:dyDescent="0.35">
      <c r="A42" t="s">
        <v>225</v>
      </c>
      <c r="B42" t="s">
        <v>226</v>
      </c>
      <c r="C42" t="s">
        <v>25</v>
      </c>
      <c r="D42" s="1" t="str">
        <f t="shared" si="0"/>
        <v>Amanda Hug</v>
      </c>
      <c r="G42" s="6" t="s">
        <v>115</v>
      </c>
      <c r="H42" s="6" t="s">
        <v>28</v>
      </c>
      <c r="I42" s="6" t="str">
        <f>IF(ISNUMBER(MATCH(G42,D:D,0)),"YES","NO")</f>
        <v>YES</v>
      </c>
      <c r="L42" s="1"/>
      <c r="M42" s="1"/>
      <c r="N42" s="1"/>
    </row>
    <row r="43" spans="1:14" x14ac:dyDescent="0.35">
      <c r="A43" t="s">
        <v>227</v>
      </c>
      <c r="B43" t="s">
        <v>228</v>
      </c>
      <c r="C43" t="s">
        <v>7</v>
      </c>
      <c r="D43" s="1" t="str">
        <f t="shared" si="0"/>
        <v>Ben Dover</v>
      </c>
      <c r="G43" s="6" t="s">
        <v>116</v>
      </c>
      <c r="H43" s="6" t="s">
        <v>25</v>
      </c>
      <c r="I43" s="6" t="str">
        <f>IF(ISNUMBER(MATCH(G43,D:D,0)),"YES","NO")</f>
        <v>YES</v>
      </c>
      <c r="L43" s="1"/>
      <c r="M43" s="1"/>
      <c r="N43" s="1"/>
    </row>
    <row r="44" spans="1:14" x14ac:dyDescent="0.35">
      <c r="A44" t="s">
        <v>186</v>
      </c>
      <c r="B44" t="s">
        <v>228</v>
      </c>
      <c r="C44" t="s">
        <v>26</v>
      </c>
      <c r="D44" s="1" t="str">
        <f t="shared" si="0"/>
        <v>Eileen Dover</v>
      </c>
      <c r="G44" s="6" t="s">
        <v>117</v>
      </c>
      <c r="H44" s="6" t="s">
        <v>7</v>
      </c>
      <c r="I44" s="6" t="str">
        <f>IF(ISNUMBER(MATCH(G44,D:D,0)),"YES","NO")</f>
        <v>YES</v>
      </c>
      <c r="L44" s="1"/>
      <c r="M44" s="1"/>
      <c r="N44" s="1"/>
    </row>
    <row r="45" spans="1:14" x14ac:dyDescent="0.35">
      <c r="A45" t="s">
        <v>229</v>
      </c>
      <c r="B45" t="s">
        <v>230</v>
      </c>
      <c r="C45" t="s">
        <v>29</v>
      </c>
      <c r="D45" s="1" t="str">
        <f t="shared" si="0"/>
        <v>Willie Makit</v>
      </c>
      <c r="G45" s="6" t="s">
        <v>118</v>
      </c>
      <c r="H45" s="6" t="s">
        <v>26</v>
      </c>
      <c r="I45" s="6" t="str">
        <f>IF(ISNUMBER(MATCH(G45,D:D,0)),"YES","NO")</f>
        <v>YES</v>
      </c>
      <c r="L45" s="1"/>
      <c r="M45" s="1"/>
      <c r="N45" s="1"/>
    </row>
    <row r="46" spans="1:14" x14ac:dyDescent="0.35">
      <c r="A46" t="s">
        <v>229</v>
      </c>
      <c r="B46" t="s">
        <v>231</v>
      </c>
      <c r="C46" t="s">
        <v>16</v>
      </c>
      <c r="D46" s="1" t="str">
        <f t="shared" si="0"/>
        <v>Willie Findit</v>
      </c>
      <c r="G46" s="6" t="s">
        <v>119</v>
      </c>
      <c r="H46" s="6" t="s">
        <v>29</v>
      </c>
      <c r="I46" s="6" t="str">
        <f>IF(ISNUMBER(MATCH(G46,D:D,0)),"YES","NO")</f>
        <v>YES</v>
      </c>
      <c r="L46" s="1"/>
      <c r="M46" s="1"/>
      <c r="N46" s="1"/>
    </row>
    <row r="47" spans="1:14" x14ac:dyDescent="0.35">
      <c r="A47" t="s">
        <v>232</v>
      </c>
      <c r="B47" t="s">
        <v>233</v>
      </c>
      <c r="C47" t="s">
        <v>25</v>
      </c>
      <c r="D47" s="1" t="str">
        <f t="shared" si="0"/>
        <v>Skye Blue</v>
      </c>
      <c r="G47" s="6" t="s">
        <v>120</v>
      </c>
      <c r="H47" s="6" t="s">
        <v>16</v>
      </c>
      <c r="I47" s="6" t="str">
        <f>IF(ISNUMBER(MATCH(G47,D:D,0)),"YES","NO")</f>
        <v>YES</v>
      </c>
      <c r="L47" s="1"/>
      <c r="M47" s="1"/>
      <c r="N47" s="1"/>
    </row>
    <row r="48" spans="1:14" x14ac:dyDescent="0.35">
      <c r="A48" t="s">
        <v>234</v>
      </c>
      <c r="B48" t="s">
        <v>235</v>
      </c>
      <c r="C48" t="s">
        <v>26</v>
      </c>
      <c r="D48" s="1" t="str">
        <f t="shared" si="0"/>
        <v>Staum Clowd</v>
      </c>
      <c r="G48" s="6" t="s">
        <v>121</v>
      </c>
      <c r="H48" s="6" t="s">
        <v>25</v>
      </c>
      <c r="I48" s="6" t="str">
        <f>IF(ISNUMBER(MATCH(G48,D:D,0)),"YES","NO")</f>
        <v>YES</v>
      </c>
      <c r="L48" s="1"/>
      <c r="M48" s="1"/>
      <c r="N48" s="1"/>
    </row>
    <row r="49" spans="1:14" x14ac:dyDescent="0.35">
      <c r="A49" t="s">
        <v>236</v>
      </c>
      <c r="B49" t="s">
        <v>237</v>
      </c>
      <c r="C49" t="s">
        <v>30</v>
      </c>
      <c r="D49" s="1" t="str">
        <f t="shared" si="0"/>
        <v>Addie Minstra</v>
      </c>
      <c r="G49" s="6" t="s">
        <v>122</v>
      </c>
      <c r="H49" s="6" t="s">
        <v>26</v>
      </c>
      <c r="I49" s="6" t="str">
        <f>IF(ISNUMBER(MATCH(G49,D:D,0)),"YES","NO")</f>
        <v>YES</v>
      </c>
      <c r="L49" s="1"/>
      <c r="M49" s="1"/>
      <c r="N49" s="1"/>
    </row>
    <row r="50" spans="1:14" x14ac:dyDescent="0.35">
      <c r="A50" t="s">
        <v>196</v>
      </c>
      <c r="B50" t="s">
        <v>238</v>
      </c>
      <c r="C50" t="s">
        <v>28</v>
      </c>
      <c r="D50" s="1" t="str">
        <f t="shared" si="0"/>
        <v>Anne Ortha</v>
      </c>
      <c r="G50" s="6" t="s">
        <v>123</v>
      </c>
      <c r="H50" s="6" t="s">
        <v>30</v>
      </c>
      <c r="I50" s="6" t="str">
        <f>IF(ISNUMBER(MATCH(G50,D:D,0)),"YES","NO")</f>
        <v>YES</v>
      </c>
      <c r="L50" s="1"/>
      <c r="M50" s="1"/>
      <c r="N50" s="1"/>
    </row>
    <row r="51" spans="1:14" x14ac:dyDescent="0.35">
      <c r="A51" t="s">
        <v>239</v>
      </c>
      <c r="B51" t="s">
        <v>240</v>
      </c>
      <c r="C51" t="s">
        <v>28</v>
      </c>
      <c r="D51" s="1" t="str">
        <f t="shared" si="0"/>
        <v>Dave Allippa</v>
      </c>
      <c r="G51" s="6" t="s">
        <v>124</v>
      </c>
      <c r="H51" s="6" t="s">
        <v>28</v>
      </c>
      <c r="I51" s="6" t="str">
        <f>IF(ISNUMBER(MATCH(G51,D:D,0)),"YES","NO")</f>
        <v>YES</v>
      </c>
      <c r="L51" s="1"/>
      <c r="M51" s="1"/>
      <c r="N51" s="1"/>
    </row>
    <row r="52" spans="1:14" x14ac:dyDescent="0.35">
      <c r="A52" t="s">
        <v>223</v>
      </c>
      <c r="B52" t="s">
        <v>241</v>
      </c>
      <c r="C52" t="s">
        <v>26</v>
      </c>
      <c r="D52" s="1" t="str">
        <f t="shared" si="0"/>
        <v>Dee Zynah</v>
      </c>
      <c r="G52" s="6" t="s">
        <v>125</v>
      </c>
      <c r="H52" s="6" t="s">
        <v>28</v>
      </c>
      <c r="I52" s="6" t="str">
        <f>IF(ISNUMBER(MATCH(G52,D:D,0)),"YES","NO")</f>
        <v>YES</v>
      </c>
      <c r="L52" s="1"/>
      <c r="M52" s="1"/>
      <c r="N52" s="1"/>
    </row>
    <row r="53" spans="1:14" x14ac:dyDescent="0.35">
      <c r="A53" t="s">
        <v>242</v>
      </c>
      <c r="B53" t="s">
        <v>243</v>
      </c>
      <c r="C53" t="s">
        <v>30</v>
      </c>
      <c r="D53" s="1" t="str">
        <f t="shared" si="0"/>
        <v>Hugh Mannerizorsa</v>
      </c>
      <c r="G53" s="6" t="s">
        <v>126</v>
      </c>
      <c r="H53" s="6" t="s">
        <v>26</v>
      </c>
      <c r="I53" s="6" t="str">
        <f>IF(ISNUMBER(MATCH(G53,D:D,0)),"YES","NO")</f>
        <v>YES</v>
      </c>
      <c r="L53" s="1"/>
      <c r="M53" s="1"/>
      <c r="N53" s="1"/>
    </row>
    <row r="54" spans="1:14" x14ac:dyDescent="0.35">
      <c r="A54" t="s">
        <v>244</v>
      </c>
      <c r="B54" t="s">
        <v>245</v>
      </c>
      <c r="C54" t="s">
        <v>10</v>
      </c>
      <c r="D54" s="1" t="str">
        <f t="shared" si="0"/>
        <v>Loco Lyzayta</v>
      </c>
      <c r="G54" s="6" t="s">
        <v>127</v>
      </c>
      <c r="H54" s="6" t="s">
        <v>30</v>
      </c>
      <c r="I54" s="6" t="str">
        <f>IF(ISNUMBER(MATCH(G54,D:D,0)),"YES","NO")</f>
        <v>YES</v>
      </c>
      <c r="L54" s="1"/>
      <c r="M54" s="1"/>
      <c r="N54" s="1"/>
    </row>
    <row r="55" spans="1:14" x14ac:dyDescent="0.35">
      <c r="A55" t="s">
        <v>246</v>
      </c>
      <c r="B55" t="s">
        <v>247</v>
      </c>
      <c r="C55" t="s">
        <v>26</v>
      </c>
      <c r="D55" s="1" t="str">
        <f t="shared" si="0"/>
        <v>Manny Jah</v>
      </c>
      <c r="G55" s="6" t="s">
        <v>128</v>
      </c>
      <c r="H55" s="6" t="s">
        <v>10</v>
      </c>
      <c r="I55" s="6" t="str">
        <f>IF(ISNUMBER(MATCH(G55,D:D,0)),"YES","NO")</f>
        <v>YES</v>
      </c>
      <c r="L55" s="1"/>
      <c r="M55" s="1"/>
      <c r="N55" s="1"/>
    </row>
    <row r="56" spans="1:14" x14ac:dyDescent="0.35">
      <c r="A56" t="s">
        <v>248</v>
      </c>
      <c r="B56" t="s">
        <v>249</v>
      </c>
      <c r="C56" t="s">
        <v>30</v>
      </c>
      <c r="D56" s="1" t="str">
        <f t="shared" si="0"/>
        <v>Mark Ateer</v>
      </c>
      <c r="G56" s="6" t="s">
        <v>129</v>
      </c>
      <c r="H56" s="6" t="s">
        <v>26</v>
      </c>
      <c r="I56" s="6" t="str">
        <f>IF(ISNUMBER(MATCH(G56,D:D,0)),"YES","NO")</f>
        <v>YES</v>
      </c>
      <c r="L56" s="1"/>
      <c r="M56" s="1"/>
      <c r="N56" s="1"/>
    </row>
    <row r="57" spans="1:14" x14ac:dyDescent="0.35">
      <c r="A57" t="s">
        <v>250</v>
      </c>
      <c r="B57" t="s">
        <v>251</v>
      </c>
      <c r="C57" t="s">
        <v>28</v>
      </c>
      <c r="D57" s="1" t="str">
        <f t="shared" si="0"/>
        <v>Reeve Ewer</v>
      </c>
      <c r="G57" s="6" t="s">
        <v>130</v>
      </c>
      <c r="H57" s="6" t="s">
        <v>30</v>
      </c>
      <c r="I57" s="6" t="str">
        <f>IF(ISNUMBER(MATCH(G57,D:D,0)),"YES","NO")</f>
        <v>YES</v>
      </c>
      <c r="L57" s="1"/>
      <c r="M57" s="1"/>
      <c r="N57" s="1"/>
    </row>
    <row r="58" spans="1:14" x14ac:dyDescent="0.35">
      <c r="A58" t="s">
        <v>252</v>
      </c>
      <c r="B58" t="s">
        <v>253</v>
      </c>
      <c r="C58" t="s">
        <v>30</v>
      </c>
      <c r="D58" s="1" t="str">
        <f t="shared" si="0"/>
        <v>Tex Ryta</v>
      </c>
      <c r="G58" s="6" t="s">
        <v>131</v>
      </c>
      <c r="H58" s="6" t="s">
        <v>28</v>
      </c>
      <c r="I58" s="6" t="str">
        <f>IF(ISNUMBER(MATCH(G58,D:D,0)),"YES","NO")</f>
        <v>YES</v>
      </c>
      <c r="L58" s="1"/>
      <c r="M58" s="1"/>
      <c r="N58" s="1"/>
    </row>
    <row r="59" spans="1:14" x14ac:dyDescent="0.35">
      <c r="A59" t="s">
        <v>254</v>
      </c>
      <c r="B59" t="s">
        <v>255</v>
      </c>
      <c r="C59" t="s">
        <v>27</v>
      </c>
      <c r="D59" s="1" t="str">
        <f t="shared" si="0"/>
        <v>Theresa Green</v>
      </c>
      <c r="G59" s="6" t="s">
        <v>132</v>
      </c>
      <c r="H59" s="6" t="s">
        <v>30</v>
      </c>
      <c r="I59" s="6" t="str">
        <f>IF(ISNUMBER(MATCH(G59,D:D,0)),"YES","NO")</f>
        <v>YES</v>
      </c>
      <c r="L59" s="1"/>
      <c r="M59" s="1"/>
      <c r="N59" s="1"/>
    </row>
    <row r="60" spans="1:14" x14ac:dyDescent="0.35">
      <c r="A60" t="s">
        <v>256</v>
      </c>
      <c r="B60" t="s">
        <v>257</v>
      </c>
      <c r="C60" t="s">
        <v>6</v>
      </c>
      <c r="D60" s="1" t="str">
        <f t="shared" si="0"/>
        <v>Barry Kade</v>
      </c>
      <c r="G60" s="6" t="s">
        <v>133</v>
      </c>
      <c r="H60" s="6" t="s">
        <v>27</v>
      </c>
      <c r="I60" s="6" t="str">
        <f>IF(ISNUMBER(MATCH(G60,D:D,0)),"YES","NO")</f>
        <v>YES</v>
      </c>
      <c r="L60" s="1"/>
      <c r="M60" s="1"/>
      <c r="N60" s="1"/>
    </row>
    <row r="61" spans="1:14" x14ac:dyDescent="0.35">
      <c r="A61" t="s">
        <v>258</v>
      </c>
      <c r="B61" t="s">
        <v>259</v>
      </c>
      <c r="C61" t="s">
        <v>28</v>
      </c>
      <c r="D61" s="1" t="str">
        <f t="shared" si="0"/>
        <v>Stan Dupp</v>
      </c>
      <c r="G61" s="6" t="s">
        <v>134</v>
      </c>
      <c r="H61" s="6" t="s">
        <v>6</v>
      </c>
      <c r="I61" s="6" t="str">
        <f>IF(ISNUMBER(MATCH(G61,D:D,0)),"YES","NO")</f>
        <v>YES</v>
      </c>
      <c r="L61" s="1"/>
      <c r="M61" s="1"/>
      <c r="N61" s="1"/>
    </row>
    <row r="62" spans="1:14" x14ac:dyDescent="0.35">
      <c r="D62" s="1"/>
      <c r="G62" s="6" t="s">
        <v>135</v>
      </c>
      <c r="H62" s="6" t="s">
        <v>28</v>
      </c>
      <c r="I62" s="6" t="str">
        <f>IF(ISNUMBER(MATCH(G62,D:D,0)),"YES","NO")</f>
        <v>YES</v>
      </c>
      <c r="L62" s="1"/>
      <c r="M62" s="1"/>
      <c r="N62" s="1"/>
    </row>
    <row r="63" spans="1:14" x14ac:dyDescent="0.35">
      <c r="D63" s="1"/>
      <c r="G63" s="6" t="s">
        <v>136</v>
      </c>
      <c r="H63" s="6" t="s">
        <v>28</v>
      </c>
      <c r="I63" s="6" t="str">
        <f>IF(ISNUMBER(MATCH(G63,D:D,0)),"YES","NO")</f>
        <v>NO</v>
      </c>
    </row>
    <row r="64" spans="1:14" x14ac:dyDescent="0.35">
      <c r="D64" s="1"/>
      <c r="G64" s="6" t="s">
        <v>137</v>
      </c>
      <c r="H64" s="6" t="s">
        <v>29</v>
      </c>
      <c r="I64" s="6" t="str">
        <f>IF(ISNUMBER(MATCH(G64,D:D,0)),"YES","NO")</f>
        <v>NO</v>
      </c>
    </row>
    <row r="65" spans="4:9" x14ac:dyDescent="0.35">
      <c r="D65" s="1"/>
      <c r="G65" s="6" t="s">
        <v>138</v>
      </c>
      <c r="H65" s="6" t="s">
        <v>27</v>
      </c>
      <c r="I65" s="6" t="str">
        <f>IF(ISNUMBER(MATCH(G65,D:D,0)),"YES","NO")</f>
        <v>NO</v>
      </c>
    </row>
    <row r="66" spans="4:9" x14ac:dyDescent="0.35">
      <c r="D66" s="1"/>
      <c r="G66" s="6" t="s">
        <v>139</v>
      </c>
      <c r="H66" s="6" t="s">
        <v>27</v>
      </c>
      <c r="I66" s="6" t="str">
        <f>IF(ISNUMBER(MATCH(G66,D:D,0)),"YES","NO")</f>
        <v>NO</v>
      </c>
    </row>
    <row r="67" spans="4:9" x14ac:dyDescent="0.35">
      <c r="D67" s="1"/>
      <c r="G67" s="6" t="s">
        <v>140</v>
      </c>
      <c r="H67" s="6" t="s">
        <v>16</v>
      </c>
      <c r="I67" s="6" t="str">
        <f>IF(ISNUMBER(MATCH(G67,D:D,0)),"YES","NO")</f>
        <v>NO</v>
      </c>
    </row>
    <row r="68" spans="4:9" x14ac:dyDescent="0.35">
      <c r="D68" s="1"/>
      <c r="G68" s="6" t="s">
        <v>141</v>
      </c>
      <c r="H68" s="6" t="s">
        <v>5</v>
      </c>
      <c r="I68" s="6" t="str">
        <f>IF(ISNUMBER(MATCH(G68,D:D,0)),"YES","NO")</f>
        <v>NO</v>
      </c>
    </row>
    <row r="69" spans="4:9" x14ac:dyDescent="0.35">
      <c r="D69" s="1"/>
      <c r="G69" s="6" t="s">
        <v>142</v>
      </c>
      <c r="H69" s="6" t="s">
        <v>28</v>
      </c>
      <c r="I69" s="6" t="str">
        <f>IF(ISNUMBER(MATCH(G69,D:D,0)),"YES","NO")</f>
        <v>NO</v>
      </c>
    </row>
    <row r="70" spans="4:9" x14ac:dyDescent="0.35">
      <c r="D70" s="1"/>
      <c r="G70" s="6" t="s">
        <v>143</v>
      </c>
      <c r="H70" s="6" t="s">
        <v>30</v>
      </c>
      <c r="I70" s="6" t="str">
        <f>IF(ISNUMBER(MATCH(G70,D:D,0)),"YES","NO")</f>
        <v>NO</v>
      </c>
    </row>
    <row r="71" spans="4:9" x14ac:dyDescent="0.35">
      <c r="D71" s="1"/>
      <c r="G71" s="6" t="s">
        <v>144</v>
      </c>
      <c r="H71" s="6" t="s">
        <v>30</v>
      </c>
      <c r="I71" s="6" t="str">
        <f>IF(ISNUMBER(MATCH(G71,D:D,0)),"YES","NO")</f>
        <v>NO</v>
      </c>
    </row>
    <row r="72" spans="4:9" x14ac:dyDescent="0.35">
      <c r="D72" s="1"/>
      <c r="G72" s="6" t="s">
        <v>145</v>
      </c>
      <c r="H72" s="6" t="s">
        <v>7</v>
      </c>
      <c r="I72" s="6" t="str">
        <f>IF(ISNUMBER(MATCH(G72,D:D,0)),"YES","NO")</f>
        <v>NO</v>
      </c>
    </row>
    <row r="73" spans="4:9" x14ac:dyDescent="0.35">
      <c r="D73" s="1"/>
      <c r="G73" s="6" t="s">
        <v>146</v>
      </c>
      <c r="H73" s="6" t="s">
        <v>31</v>
      </c>
      <c r="I73" s="6" t="str">
        <f>IF(ISNUMBER(MATCH(G73,D:D,0)),"YES","NO")</f>
        <v>NO</v>
      </c>
    </row>
    <row r="74" spans="4:9" x14ac:dyDescent="0.35">
      <c r="D74" s="1"/>
      <c r="G74" s="6" t="s">
        <v>147</v>
      </c>
      <c r="H74" s="6" t="s">
        <v>31</v>
      </c>
      <c r="I74" s="6" t="str">
        <f>IF(ISNUMBER(MATCH(G74,D:D,0)),"YES","NO")</f>
        <v>NO</v>
      </c>
    </row>
    <row r="75" spans="4:9" x14ac:dyDescent="0.35">
      <c r="D75" s="1"/>
      <c r="G75" s="6" t="s">
        <v>148</v>
      </c>
      <c r="H75" s="6" t="s">
        <v>7</v>
      </c>
      <c r="I75" s="6" t="str">
        <f>IF(ISNUMBER(MATCH(G75,D:D,0)),"YES","NO")</f>
        <v>NO</v>
      </c>
    </row>
    <row r="76" spans="4:9" x14ac:dyDescent="0.35">
      <c r="D76" s="1"/>
      <c r="G76" s="6" t="s">
        <v>76</v>
      </c>
      <c r="H76" s="6" t="s">
        <v>7</v>
      </c>
      <c r="I76" s="6" t="str">
        <f>IF(ISNUMBER(MATCH(G76,D:D,0)),"YES","NO")</f>
        <v>NO</v>
      </c>
    </row>
    <row r="77" spans="4:9" x14ac:dyDescent="0.35">
      <c r="D77" s="1"/>
      <c r="G77" s="6" t="s">
        <v>32</v>
      </c>
      <c r="H77" s="6" t="s">
        <v>5</v>
      </c>
      <c r="I77" s="6" t="str">
        <f>IF(ISNUMBER(MATCH(G77,D:D,0)),"YES","NO")</f>
        <v>NO</v>
      </c>
    </row>
    <row r="78" spans="4:9" x14ac:dyDescent="0.35">
      <c r="D78" s="1"/>
      <c r="G78" s="6" t="s">
        <v>33</v>
      </c>
      <c r="H78" s="6" t="s">
        <v>28</v>
      </c>
      <c r="I78" s="6" t="str">
        <f>IF(ISNUMBER(MATCH(G78,D:D,0)),"YES","NO")</f>
        <v>NO</v>
      </c>
    </row>
    <row r="79" spans="4:9" x14ac:dyDescent="0.35">
      <c r="D79" s="1"/>
      <c r="G79" s="6" t="s">
        <v>34</v>
      </c>
      <c r="H79" s="6" t="s">
        <v>7</v>
      </c>
      <c r="I79" s="6" t="str">
        <f>IF(ISNUMBER(MATCH(G79,D:D,0)),"YES","NO")</f>
        <v>NO</v>
      </c>
    </row>
    <row r="80" spans="4:9" x14ac:dyDescent="0.35">
      <c r="D80" s="1"/>
      <c r="G80" s="6" t="s">
        <v>35</v>
      </c>
      <c r="H80" s="6" t="s">
        <v>30</v>
      </c>
      <c r="I80" s="6" t="str">
        <f>IF(ISNUMBER(MATCH(G80,D:D,0)),"YES","NO")</f>
        <v>NO</v>
      </c>
    </row>
    <row r="81" spans="4:9" x14ac:dyDescent="0.35">
      <c r="D81" s="1"/>
      <c r="G81" s="6" t="s">
        <v>36</v>
      </c>
      <c r="H81" s="6" t="s">
        <v>12</v>
      </c>
      <c r="I81" s="6" t="str">
        <f>IF(ISNUMBER(MATCH(G81,D:D,0)),"YES","NO")</f>
        <v>NO</v>
      </c>
    </row>
    <row r="82" spans="4:9" x14ac:dyDescent="0.35">
      <c r="D82" s="1"/>
      <c r="G82" s="6" t="s">
        <v>19</v>
      </c>
      <c r="H82" s="6" t="s">
        <v>27</v>
      </c>
      <c r="I82" s="6" t="str">
        <f>IF(ISNUMBER(MATCH(G82,D:D,0)),"YES","NO")</f>
        <v>NO</v>
      </c>
    </row>
    <row r="83" spans="4:9" x14ac:dyDescent="0.35">
      <c r="D83" s="1"/>
      <c r="G83" s="6" t="s">
        <v>75</v>
      </c>
      <c r="H83" s="6" t="s">
        <v>28</v>
      </c>
      <c r="I83" s="6" t="str">
        <f>IF(ISNUMBER(MATCH(G83,D:D,0)),"YES","NO")</f>
        <v>NO</v>
      </c>
    </row>
    <row r="84" spans="4:9" x14ac:dyDescent="0.35">
      <c r="D84" s="1"/>
      <c r="G84" s="6" t="s">
        <v>74</v>
      </c>
      <c r="H84" s="6" t="s">
        <v>10</v>
      </c>
      <c r="I84" s="6" t="str">
        <f>IF(ISNUMBER(MATCH(G84,D:D,0)),"YES","NO")</f>
        <v>NO</v>
      </c>
    </row>
    <row r="85" spans="4:9" x14ac:dyDescent="0.35">
      <c r="D85" s="1"/>
      <c r="G85" s="6" t="s">
        <v>73</v>
      </c>
      <c r="H85" s="6" t="s">
        <v>28</v>
      </c>
      <c r="I85" s="6" t="str">
        <f>IF(ISNUMBER(MATCH(G85,D:D,0)),"YES","NO")</f>
        <v>NO</v>
      </c>
    </row>
    <row r="86" spans="4:9" x14ac:dyDescent="0.35">
      <c r="D86" s="1"/>
      <c r="G86" s="6" t="s">
        <v>37</v>
      </c>
      <c r="H86" s="6" t="s">
        <v>16</v>
      </c>
      <c r="I86" s="6" t="str">
        <f>IF(ISNUMBER(MATCH(G86,D:D,0)),"YES","NO")</f>
        <v>NO</v>
      </c>
    </row>
    <row r="87" spans="4:9" x14ac:dyDescent="0.35">
      <c r="D87" s="1"/>
      <c r="G87" s="6" t="s">
        <v>18</v>
      </c>
      <c r="H87" s="6" t="s">
        <v>30</v>
      </c>
      <c r="I87" s="6" t="str">
        <f>IF(ISNUMBER(MATCH(G87,D:D,0)),"YES","NO")</f>
        <v>NO</v>
      </c>
    </row>
    <row r="88" spans="4:9" x14ac:dyDescent="0.35">
      <c r="D88" s="1"/>
      <c r="G88" s="6" t="s">
        <v>72</v>
      </c>
      <c r="H88" s="6" t="s">
        <v>16</v>
      </c>
      <c r="I88" s="6" t="str">
        <f>IF(ISNUMBER(MATCH(G88,D:D,0)),"YES","NO")</f>
        <v>NO</v>
      </c>
    </row>
    <row r="89" spans="4:9" x14ac:dyDescent="0.35">
      <c r="D89" s="1"/>
      <c r="G89" s="6" t="s">
        <v>71</v>
      </c>
      <c r="H89" s="6" t="s">
        <v>26</v>
      </c>
      <c r="I89" s="6" t="str">
        <f>IF(ISNUMBER(MATCH(G89,D:D,0)),"YES","NO")</f>
        <v>NO</v>
      </c>
    </row>
    <row r="90" spans="4:9" x14ac:dyDescent="0.35">
      <c r="D90" s="1"/>
      <c r="G90" s="6" t="s">
        <v>38</v>
      </c>
      <c r="H90" s="6" t="s">
        <v>30</v>
      </c>
      <c r="I90" s="6" t="str">
        <f>IF(ISNUMBER(MATCH(G90,D:D,0)),"YES","NO")</f>
        <v>NO</v>
      </c>
    </row>
    <row r="91" spans="4:9" x14ac:dyDescent="0.35">
      <c r="D91" s="1"/>
      <c r="G91" s="6" t="s">
        <v>70</v>
      </c>
      <c r="H91" s="6" t="s">
        <v>7</v>
      </c>
      <c r="I91" s="6" t="str">
        <f>IF(ISNUMBER(MATCH(G91,D:D,0)),"YES","NO")</f>
        <v>NO</v>
      </c>
    </row>
    <row r="92" spans="4:9" x14ac:dyDescent="0.35">
      <c r="D92" s="1"/>
      <c r="G92" s="6" t="s">
        <v>39</v>
      </c>
      <c r="H92" s="6" t="s">
        <v>28</v>
      </c>
      <c r="I92" s="6" t="str">
        <f>IF(ISNUMBER(MATCH(G92,D:D,0)),"YES","NO")</f>
        <v>NO</v>
      </c>
    </row>
    <row r="93" spans="4:9" x14ac:dyDescent="0.35">
      <c r="D93" s="1"/>
      <c r="G93" s="6" t="s">
        <v>69</v>
      </c>
      <c r="H93" s="6" t="s">
        <v>30</v>
      </c>
      <c r="I93" s="6" t="str">
        <f>IF(ISNUMBER(MATCH(G93,D:D,0)),"YES","NO")</f>
        <v>NO</v>
      </c>
    </row>
    <row r="94" spans="4:9" x14ac:dyDescent="0.35">
      <c r="D94" s="1"/>
      <c r="G94" s="6" t="s">
        <v>68</v>
      </c>
      <c r="H94" s="6" t="s">
        <v>28</v>
      </c>
      <c r="I94" s="6" t="str">
        <f>IF(ISNUMBER(MATCH(G94,D:D,0)),"YES","NO")</f>
        <v>NO</v>
      </c>
    </row>
    <row r="95" spans="4:9" x14ac:dyDescent="0.35">
      <c r="D95" s="1"/>
      <c r="G95" s="6" t="s">
        <v>67</v>
      </c>
      <c r="H95" s="6" t="s">
        <v>16</v>
      </c>
      <c r="I95" s="6" t="str">
        <f>IF(ISNUMBER(MATCH(G95,D:D,0)),"YES","NO")</f>
        <v>NO</v>
      </c>
    </row>
    <row r="96" spans="4:9" x14ac:dyDescent="0.35">
      <c r="D96" s="1"/>
      <c r="G96" s="6" t="s">
        <v>66</v>
      </c>
      <c r="H96" s="6" t="s">
        <v>7</v>
      </c>
      <c r="I96" s="6" t="str">
        <f>IF(ISNUMBER(MATCH(G96,D:D,0)),"YES","NO")</f>
        <v>NO</v>
      </c>
    </row>
    <row r="97" spans="4:9" x14ac:dyDescent="0.35">
      <c r="D97" s="1"/>
      <c r="G97" s="6" t="s">
        <v>65</v>
      </c>
      <c r="H97" s="6" t="s">
        <v>7</v>
      </c>
      <c r="I97" s="6" t="str">
        <f>IF(ISNUMBER(MATCH(G97,D:D,0)),"YES","NO")</f>
        <v>NO</v>
      </c>
    </row>
    <row r="98" spans="4:9" x14ac:dyDescent="0.35">
      <c r="D98" s="1"/>
      <c r="G98" s="6" t="s">
        <v>64</v>
      </c>
      <c r="H98" s="6" t="s">
        <v>30</v>
      </c>
      <c r="I98" s="6" t="str">
        <f>IF(ISNUMBER(MATCH(G98,D:D,0)),"YES","NO")</f>
        <v>NO</v>
      </c>
    </row>
    <row r="99" spans="4:9" x14ac:dyDescent="0.35">
      <c r="G99" s="6" t="s">
        <v>40</v>
      </c>
      <c r="H99" s="6" t="s">
        <v>27</v>
      </c>
      <c r="I99" s="6" t="str">
        <f>IF(ISNUMBER(MATCH(G99,D:D,0)),"YES","NO")</f>
        <v>NO</v>
      </c>
    </row>
    <row r="100" spans="4:9" x14ac:dyDescent="0.35">
      <c r="G100" s="6" t="s">
        <v>41</v>
      </c>
      <c r="H100" s="6" t="s">
        <v>16</v>
      </c>
      <c r="I100" s="6" t="str">
        <f>IF(ISNUMBER(MATCH(G100,D:D,0)),"YES","NO")</f>
        <v>NO</v>
      </c>
    </row>
    <row r="101" spans="4:9" x14ac:dyDescent="0.35">
      <c r="G101" s="6" t="s">
        <v>63</v>
      </c>
      <c r="H101" s="6" t="s">
        <v>28</v>
      </c>
      <c r="I101" s="6" t="str">
        <f>IF(ISNUMBER(MATCH(G101,D:D,0)),"YES","NO")</f>
        <v>NO</v>
      </c>
    </row>
    <row r="102" spans="4:9" x14ac:dyDescent="0.35">
      <c r="G102" s="6" t="s">
        <v>62</v>
      </c>
      <c r="H102" s="6" t="s">
        <v>12</v>
      </c>
      <c r="I102" s="6" t="str">
        <f>IF(ISNUMBER(MATCH(G102,D:D,0)),"YES","NO")</f>
        <v>NO</v>
      </c>
    </row>
    <row r="103" spans="4:9" x14ac:dyDescent="0.35">
      <c r="G103" s="6" t="s">
        <v>42</v>
      </c>
      <c r="H103" s="6" t="s">
        <v>5</v>
      </c>
      <c r="I103" s="6" t="str">
        <f>IF(ISNUMBER(MATCH(G103,D:D,0)),"YES","NO")</f>
        <v>NO</v>
      </c>
    </row>
    <row r="104" spans="4:9" x14ac:dyDescent="0.35">
      <c r="G104" s="6" t="s">
        <v>43</v>
      </c>
      <c r="H104" s="6" t="s">
        <v>10</v>
      </c>
      <c r="I104" s="6" t="str">
        <f>IF(ISNUMBER(MATCH(G104,D:D,0)),"YES","NO")</f>
        <v>NO</v>
      </c>
    </row>
    <row r="105" spans="4:9" x14ac:dyDescent="0.35">
      <c r="G105" s="6" t="s">
        <v>17</v>
      </c>
      <c r="H105" s="6" t="s">
        <v>26</v>
      </c>
      <c r="I105" s="6" t="str">
        <f>IF(ISNUMBER(MATCH(G105,D:D,0)),"YES","NO")</f>
        <v>NO</v>
      </c>
    </row>
    <row r="106" spans="4:9" x14ac:dyDescent="0.35">
      <c r="G106" s="6" t="s">
        <v>44</v>
      </c>
      <c r="H106" s="6" t="s">
        <v>26</v>
      </c>
      <c r="I106" s="6" t="str">
        <f>IF(ISNUMBER(MATCH(G106,D:D,0)),"YES","NO")</f>
        <v>NO</v>
      </c>
    </row>
    <row r="107" spans="4:9" x14ac:dyDescent="0.35">
      <c r="G107" s="6" t="s">
        <v>13</v>
      </c>
      <c r="H107" s="6" t="s">
        <v>12</v>
      </c>
      <c r="I107" s="6" t="str">
        <f>IF(ISNUMBER(MATCH(G107,D:D,0)),"YES","NO")</f>
        <v>NO</v>
      </c>
    </row>
    <row r="108" spans="4:9" x14ac:dyDescent="0.35">
      <c r="G108" s="6" t="s">
        <v>45</v>
      </c>
      <c r="H108" s="6" t="s">
        <v>29</v>
      </c>
      <c r="I108" s="6" t="str">
        <f>IF(ISNUMBER(MATCH(G108,D:D,0)),"YES","NO")</f>
        <v>NO</v>
      </c>
    </row>
    <row r="109" spans="4:9" x14ac:dyDescent="0.35">
      <c r="G109" s="6" t="s">
        <v>46</v>
      </c>
      <c r="H109" s="6" t="s">
        <v>28</v>
      </c>
      <c r="I109" s="6" t="str">
        <f>IF(ISNUMBER(MATCH(G109,D:D,0)),"YES","NO")</f>
        <v>NO</v>
      </c>
    </row>
    <row r="110" spans="4:9" x14ac:dyDescent="0.35">
      <c r="G110" s="6" t="s">
        <v>47</v>
      </c>
      <c r="H110" s="6" t="s">
        <v>5</v>
      </c>
      <c r="I110" s="6" t="str">
        <f>IF(ISNUMBER(MATCH(G110,D:D,0)),"YES","NO")</f>
        <v>NO</v>
      </c>
    </row>
    <row r="111" spans="4:9" x14ac:dyDescent="0.35">
      <c r="G111" s="6" t="s">
        <v>48</v>
      </c>
      <c r="H111" s="6" t="s">
        <v>26</v>
      </c>
      <c r="I111" s="6" t="str">
        <f>IF(ISNUMBER(MATCH(G111,D:D,0)),"YES","NO")</f>
        <v>NO</v>
      </c>
    </row>
    <row r="112" spans="4:9" x14ac:dyDescent="0.35">
      <c r="G112" s="6" t="s">
        <v>61</v>
      </c>
      <c r="H112" s="6" t="s">
        <v>27</v>
      </c>
      <c r="I112" s="6" t="str">
        <f>IF(ISNUMBER(MATCH(G112,D:D,0)),"YES","NO")</f>
        <v>NO</v>
      </c>
    </row>
    <row r="113" spans="7:9" x14ac:dyDescent="0.35">
      <c r="G113" s="6" t="s">
        <v>11</v>
      </c>
      <c r="H113" s="6" t="s">
        <v>10</v>
      </c>
      <c r="I113" s="6" t="str">
        <f>IF(ISNUMBER(MATCH(G113,D:D,0)),"YES","NO")</f>
        <v>NO</v>
      </c>
    </row>
    <row r="114" spans="7:9" x14ac:dyDescent="0.35">
      <c r="G114" s="6" t="s">
        <v>49</v>
      </c>
      <c r="H114" s="6" t="s">
        <v>7</v>
      </c>
      <c r="I114" s="6" t="str">
        <f>IF(ISNUMBER(MATCH(G114,D:D,0)),"YES","NO")</f>
        <v>NO</v>
      </c>
    </row>
    <row r="115" spans="7:9" x14ac:dyDescent="0.35">
      <c r="G115" s="6" t="s">
        <v>60</v>
      </c>
      <c r="H115" s="6" t="s">
        <v>6</v>
      </c>
      <c r="I115" s="6" t="str">
        <f>IF(ISNUMBER(MATCH(G115,D:D,0)),"YES","NO")</f>
        <v>NO</v>
      </c>
    </row>
    <row r="116" spans="7:9" x14ac:dyDescent="0.35">
      <c r="G116" s="6" t="s">
        <v>59</v>
      </c>
      <c r="H116" s="6" t="s">
        <v>28</v>
      </c>
      <c r="I116" s="6" t="str">
        <f>IF(ISNUMBER(MATCH(G116,D:D,0)),"YES","NO")</f>
        <v>NO</v>
      </c>
    </row>
    <row r="117" spans="7:9" x14ac:dyDescent="0.35">
      <c r="G117" s="6" t="s">
        <v>50</v>
      </c>
      <c r="H117" s="6" t="s">
        <v>28</v>
      </c>
      <c r="I117" s="6" t="str">
        <f>IF(ISNUMBER(MATCH(G117,D:D,0)),"YES","NO")</f>
        <v>NO</v>
      </c>
    </row>
    <row r="118" spans="7:9" x14ac:dyDescent="0.35">
      <c r="G118" s="6" t="s">
        <v>51</v>
      </c>
      <c r="H118" s="6" t="s">
        <v>7</v>
      </c>
      <c r="I118" s="6" t="str">
        <f>IF(ISNUMBER(MATCH(G118,D:D,0)),"YES","NO")</f>
        <v>NO</v>
      </c>
    </row>
    <row r="119" spans="7:9" x14ac:dyDescent="0.35">
      <c r="G119" s="6" t="s">
        <v>52</v>
      </c>
      <c r="H119" s="6" t="s">
        <v>25</v>
      </c>
      <c r="I119" s="6" t="str">
        <f>IF(ISNUMBER(MATCH(G119,D:D,0)),"YES","NO")</f>
        <v>NO</v>
      </c>
    </row>
    <row r="120" spans="7:9" x14ac:dyDescent="0.35">
      <c r="G120" s="6" t="s">
        <v>53</v>
      </c>
      <c r="H120" s="6" t="s">
        <v>30</v>
      </c>
      <c r="I120" s="6" t="str">
        <f>IF(ISNUMBER(MATCH(G120,D:D,0)),"YES","NO")</f>
        <v>NO</v>
      </c>
    </row>
    <row r="121" spans="7:9" x14ac:dyDescent="0.35">
      <c r="G121" s="6" t="s">
        <v>54</v>
      </c>
      <c r="H121" s="6" t="s">
        <v>10</v>
      </c>
      <c r="I121" s="6" t="str">
        <f>IF(ISNUMBER(MATCH(G121,D:D,0)),"YES","NO")</f>
        <v>NO</v>
      </c>
    </row>
    <row r="122" spans="7:9" x14ac:dyDescent="0.35">
      <c r="G122" s="6" t="s">
        <v>14</v>
      </c>
      <c r="H122" s="6" t="s">
        <v>7</v>
      </c>
      <c r="I122" s="6" t="str">
        <f>IF(ISNUMBER(MATCH(G122,D:D,0)),"YES","NO")</f>
        <v>NO</v>
      </c>
    </row>
    <row r="123" spans="7:9" x14ac:dyDescent="0.35">
      <c r="G123" s="6" t="s">
        <v>55</v>
      </c>
      <c r="H123" s="6" t="s">
        <v>30</v>
      </c>
      <c r="I123" s="6" t="str">
        <f>IF(ISNUMBER(MATCH(G123,D:D,0)),"YES","NO")</f>
        <v>NO</v>
      </c>
    </row>
    <row r="124" spans="7:9" x14ac:dyDescent="0.35">
      <c r="G124" s="6" t="s">
        <v>58</v>
      </c>
      <c r="H124" s="6" t="s">
        <v>7</v>
      </c>
      <c r="I124" s="6" t="str">
        <f>IF(ISNUMBER(MATCH(G124,D:D,0)),"YES","NO")</f>
        <v>NO</v>
      </c>
    </row>
    <row r="125" spans="7:9" x14ac:dyDescent="0.35">
      <c r="G125" s="6" t="s">
        <v>15</v>
      </c>
      <c r="H125" s="6" t="s">
        <v>7</v>
      </c>
      <c r="I125" s="6" t="str">
        <f>IF(ISNUMBER(MATCH(G125,D:D,0)),"YES","NO")</f>
        <v>NO</v>
      </c>
    </row>
  </sheetData>
  <sheetProtection selectLockedCells="1"/>
  <customSheetViews>
    <customSheetView guid="{7D8BEEC5-4E70-4F4F-873D-28103A2E2FE0}" showAutoFilter="1">
      <selection activeCell="J9" sqref="J9"/>
      <pageMargins left="0.7" right="0.7" top="0.75" bottom="0.75" header="0.3" footer="0.3"/>
      <pageSetup orientation="portrait" r:id="rId1"/>
      <autoFilter ref="A1:D127" xr:uid="{1AA65816-9892-4F60-8574-7949DC048481}"/>
    </customSheetView>
    <customSheetView guid="{D11E8A94-7179-435B-8F57-2378E88EFDA3}" state="hidden">
      <selection activeCell="A127" sqref="A127"/>
      <pageMargins left="0.7" right="0.7" top="0.75" bottom="0.75" header="0.3" footer="0.3"/>
      <pageSetup orientation="portrait" r:id="rId2"/>
    </customSheetView>
    <customSheetView guid="{4B2B4EAF-DC8A-4EDB-85A2-6E268C25818A}" state="hidden">
      <selection activeCell="A125" sqref="A125"/>
      <pageMargins left="0.7" right="0.7" top="0.75" bottom="0.75" header="0.3" footer="0.3"/>
      <pageSetup orientation="portrait" r:id="rId3"/>
    </customSheetView>
    <customSheetView guid="{10831558-F39E-46E5-A7C8-2D54D16C667E}" state="hidden">
      <selection activeCell="A122" sqref="A122"/>
      <pageMargins left="0.7" right="0.7" top="0.75" bottom="0.75" header="0.3" footer="0.3"/>
      <pageSetup orientation="portrait" r:id="rId4"/>
    </customSheetView>
    <customSheetView guid="{A1C6C3EF-2216-4716-94DB-14D23CC0785E}" state="hidden">
      <selection activeCell="A119" sqref="A119"/>
      <pageMargins left="0.7" right="0.7" top="0.75" bottom="0.75" header="0.3" footer="0.3"/>
      <pageSetup orientation="portrait" r:id="rId5"/>
    </customSheetView>
    <customSheetView guid="{4A7C06BE-7E6A-44F5-B77B-242ED69A9134}" showAutoFilter="1" state="hidden">
      <selection activeCell="A118" sqref="A118"/>
      <pageMargins left="0.7" right="0.7" top="0.75" bottom="0.75" header="0.3" footer="0.3"/>
      <pageSetup orientation="portrait" r:id="rId6"/>
      <autoFilter ref="A1:C116" xr:uid="{49FC23D9-3328-453D-8ABD-D54BCDE070F7}"/>
    </customSheetView>
    <customSheetView guid="{54247267-7166-4703-88DC-EE77135F4B24}" state="hidden">
      <selection activeCell="A115" sqref="A115"/>
      <pageMargins left="0.7" right="0.7" top="0.75" bottom="0.75" header="0.3" footer="0.3"/>
      <pageSetup orientation="portrait" r:id="rId7"/>
    </customSheetView>
    <customSheetView guid="{FA90666B-2A94-4CBC-9AD4-84BA7AC2F21D}" state="hidden">
      <selection activeCell="A113" sqref="A113"/>
      <pageMargins left="0.7" right="0.7" top="0.75" bottom="0.75" header="0.3" footer="0.3"/>
      <pageSetup orientation="portrait" r:id="rId8"/>
    </customSheetView>
    <customSheetView guid="{B45F70C9-BDF3-40AB-B6D3-CDC9BD0FB4DC}" state="hidden">
      <selection activeCell="A110" sqref="A110"/>
      <pageMargins left="0.7" right="0.7" top="0.75" bottom="0.75" header="0.3" footer="0.3"/>
      <pageSetup orientation="portrait" r:id="rId9"/>
    </customSheetView>
    <customSheetView guid="{8FFA260A-9485-490B-8306-C2FFC0D3DB95}" state="hidden">
      <selection activeCell="A104" sqref="A104"/>
      <pageMargins left="0.7" right="0.7" top="0.75" bottom="0.75" header="0.3" footer="0.3"/>
      <pageSetup orientation="portrait" r:id="rId10"/>
    </customSheetView>
    <customSheetView guid="{BEAC0404-A0B0-402F-BC06-7BD08E9FC54D}" state="hidden">
      <selection activeCell="A100" sqref="A100"/>
      <pageMargins left="0.7" right="0.7" top="0.75" bottom="0.75" header="0.3" footer="0.3"/>
      <pageSetup orientation="portrait" r:id="rId11"/>
    </customSheetView>
    <customSheetView guid="{9A5116E3-D829-4007-8956-520E4EC3D63C}" state="hidden">
      <selection activeCell="A71" sqref="A71"/>
      <pageMargins left="0.7" right="0.7" top="0.75" bottom="0.75" header="0.3" footer="0.3"/>
      <pageSetup orientation="portrait" r:id="rId12"/>
    </customSheetView>
    <customSheetView guid="{3A39C826-7E9C-48AF-A8A0-D3A095607F67}" state="hidden">
      <selection activeCell="A69" sqref="A69"/>
      <pageMargins left="0.7" right="0.7" top="0.75" bottom="0.75" header="0.3" footer="0.3"/>
      <pageSetup orientation="portrait" r:id="rId13"/>
    </customSheetView>
    <customSheetView guid="{DC8FA18F-38EA-476F-AF24-786BA9C82C74}" state="hidden">
      <selection activeCell="A67" sqref="A67"/>
      <pageMargins left="0.7" right="0.7" top="0.75" bottom="0.75" header="0.3" footer="0.3"/>
      <pageSetup orientation="portrait" r:id="rId14"/>
    </customSheetView>
    <customSheetView guid="{BEA09B66-BAEF-400E-9AC3-203744784C7B}" state="hidden">
      <selection activeCell="A63" sqref="A63"/>
      <pageMargins left="0.7" right="0.7" top="0.75" bottom="0.75" header="0.3" footer="0.3"/>
      <pageSetup orientation="portrait" r:id="rId15"/>
    </customSheetView>
    <customSheetView guid="{6DB4CCFC-8CC8-4A07-A983-FF12F2ADF582}" state="hidden">
      <selection activeCell="A54" sqref="A54"/>
      <pageMargins left="0.7" right="0.7" top="0.75" bottom="0.75" header="0.3" footer="0.3"/>
      <pageSetup orientation="portrait" r:id="rId16"/>
    </customSheetView>
    <customSheetView guid="{D6E4985C-38F0-4B75-9A92-C4DF68FB8E13}" state="hidden">
      <selection activeCell="A49" sqref="A49"/>
      <pageMargins left="0.7" right="0.7" top="0.75" bottom="0.75" header="0.3" footer="0.3"/>
      <pageSetup orientation="portrait" r:id="rId17"/>
    </customSheetView>
    <customSheetView guid="{5CB5182B-C8B4-423B-BB94-377D7D5F19F6}" state="hidden">
      <selection activeCell="A38" sqref="A38"/>
      <pageMargins left="0.7" right="0.7" top="0.75" bottom="0.75" header="0.3" footer="0.3"/>
      <pageSetup orientation="portrait" r:id="rId18"/>
    </customSheetView>
    <customSheetView guid="{264391A9-7765-4AAF-B198-B3526599A2CE}" state="hidden">
      <selection activeCell="A35" sqref="A35"/>
      <pageMargins left="0.7" right="0.7" top="0.75" bottom="0.75" header="0.3" footer="0.3"/>
      <pageSetup orientation="portrait" r:id="rId19"/>
    </customSheetView>
    <customSheetView guid="{517EC3FD-C3FB-43F6-9515-911AFCD30574}" state="hidden">
      <selection activeCell="A33" sqref="A33"/>
      <pageMargins left="0.7" right="0.7" top="0.75" bottom="0.75" header="0.3" footer="0.3"/>
      <pageSetup orientation="portrait" r:id="rId20"/>
    </customSheetView>
    <customSheetView guid="{7FB4D68A-9941-4C19-9960-215E27FDEEC1}" state="hidden">
      <selection activeCell="A30" sqref="A30"/>
      <pageMargins left="0.7" right="0.7" top="0.75" bottom="0.75" header="0.3" footer="0.3"/>
      <pageSetup orientation="portrait" r:id="rId21"/>
    </customSheetView>
    <customSheetView guid="{A6E54CE6-AA70-4C46-817A-562A040C3E38}" state="hidden">
      <selection activeCell="A28" sqref="A28"/>
      <pageMargins left="0.7" right="0.7" top="0.75" bottom="0.75" header="0.3" footer="0.3"/>
      <pageSetup orientation="portrait" r:id="rId22"/>
    </customSheetView>
    <customSheetView guid="{D7393E09-E6A1-4898-B812-3ADD0FC9B0F5}" state="hidden">
      <selection activeCell="A26" sqref="A26"/>
      <pageMargins left="0.7" right="0.7" top="0.75" bottom="0.75" header="0.3" footer="0.3"/>
      <pageSetup orientation="portrait" r:id="rId23"/>
    </customSheetView>
    <customSheetView guid="{6A6A330F-D68A-4911-A0AE-D6A36FA62CF3}" state="hidden">
      <selection activeCell="A24" sqref="A24"/>
      <pageMargins left="0.7" right="0.7" top="0.75" bottom="0.75" header="0.3" footer="0.3"/>
      <pageSetup orientation="portrait" r:id="rId24"/>
    </customSheetView>
    <customSheetView guid="{D497015A-FBBB-461A-839D-F30470CDE388}" state="hidden">
      <selection activeCell="A20" sqref="A20"/>
      <pageMargins left="0.7" right="0.7" top="0.75" bottom="0.75" header="0.3" footer="0.3"/>
      <pageSetup orientation="portrait" r:id="rId25"/>
    </customSheetView>
    <customSheetView guid="{3BC1013F-5E26-423D-9031-DCB7997CAF6D}" state="hidden">
      <selection activeCell="A17" sqref="A17"/>
      <pageMargins left="0.7" right="0.7" top="0.75" bottom="0.75" header="0.3" footer="0.3"/>
      <pageSetup orientation="portrait" r:id="rId26"/>
    </customSheetView>
    <customSheetView guid="{91995DC3-DDFE-486A-B625-A503A69007BB}" state="hidden">
      <selection activeCell="A11" sqref="A11"/>
      <pageMargins left="0.7" right="0.7" top="0.75" bottom="0.75" header="0.3" footer="0.3"/>
      <pageSetup orientation="portrait" r:id="rId27"/>
    </customSheetView>
    <customSheetView guid="{0BACE8FA-4427-44A5-995C-1A8BFA2FADFE}" state="hidden">
      <selection activeCell="A9" sqref="A9"/>
      <pageMargins left="0.7" right="0.7" top="0.75" bottom="0.75" header="0.3" footer="0.3"/>
      <pageSetup orientation="portrait" r:id="rId28"/>
    </customSheetView>
    <customSheetView guid="{1C5F205E-A89D-4AE1-9C50-A72CC842B6F4}" state="hidden">
      <selection activeCell="A8" sqref="A8"/>
      <pageMargins left="0.7" right="0.7" top="0.75" bottom="0.75" header="0.3" footer="0.3"/>
      <pageSetup orientation="portrait" r:id="rId29"/>
    </customSheetView>
    <customSheetView guid="{0C159AD6-2DAA-4315-960C-ECA8D5119687}" state="hidden">
      <selection activeCell="A10" sqref="A10"/>
      <pageMargins left="0.7" right="0.7" top="0.75" bottom="0.75" header="0.3" footer="0.3"/>
      <pageSetup orientation="portrait" r:id="rId30"/>
    </customSheetView>
    <customSheetView guid="{E66070B5-A73D-4433-B9AE-9B5FB4EEE9AF}" state="hidden">
      <selection activeCell="A12" sqref="A12"/>
      <pageMargins left="0.7" right="0.7" top="0.75" bottom="0.75" header="0.3" footer="0.3"/>
      <pageSetup orientation="portrait" r:id="rId31"/>
    </customSheetView>
    <customSheetView guid="{77172587-88C0-4E77-90D9-670809AACD33}" state="hidden">
      <selection activeCell="A19" sqref="A19"/>
      <pageMargins left="0.7" right="0.7" top="0.75" bottom="0.75" header="0.3" footer="0.3"/>
      <pageSetup orientation="portrait" r:id="rId32"/>
    </customSheetView>
    <customSheetView guid="{C9D7BF9D-DA11-4C4F-B310-60E3791FDE59}" state="hidden">
      <selection activeCell="A22" sqref="A22"/>
      <pageMargins left="0.7" right="0.7" top="0.75" bottom="0.75" header="0.3" footer="0.3"/>
      <pageSetup orientation="portrait" r:id="rId33"/>
    </customSheetView>
    <customSheetView guid="{64666709-18F8-438A-A45B-CBF9FA60AACC}" state="hidden">
      <selection activeCell="A25" sqref="A25"/>
      <pageMargins left="0.7" right="0.7" top="0.75" bottom="0.75" header="0.3" footer="0.3"/>
      <pageSetup orientation="portrait" r:id="rId34"/>
    </customSheetView>
    <customSheetView guid="{DC6196F2-6C7B-4FEC-8A78-24FD72DFE808}" state="hidden">
      <selection activeCell="A29" sqref="A29"/>
      <pageMargins left="0.7" right="0.7" top="0.75" bottom="0.75" header="0.3" footer="0.3"/>
      <pageSetup orientation="portrait" r:id="rId35"/>
    </customSheetView>
    <customSheetView guid="{1D1559D7-CF7B-44C6-9537-CFA4DE28539F}" state="hidden">
      <selection activeCell="A31" sqref="A31"/>
      <pageMargins left="0.7" right="0.7" top="0.75" bottom="0.75" header="0.3" footer="0.3"/>
      <pageSetup orientation="portrait" r:id="rId36"/>
    </customSheetView>
    <customSheetView guid="{00B08691-36AD-423E-A5DA-81EDB2FC4B50}" state="hidden">
      <selection activeCell="A6" sqref="A6"/>
      <pageMargins left="0.7" right="0.7" top="0.75" bottom="0.75" header="0.3" footer="0.3"/>
      <pageSetup orientation="portrait" r:id="rId37"/>
    </customSheetView>
    <customSheetView guid="{2780BE28-0844-406E-A00A-803C3522678E}" state="hidden">
      <selection activeCell="A47" sqref="A47"/>
      <pageMargins left="0.7" right="0.7" top="0.75" bottom="0.75" header="0.3" footer="0.3"/>
      <pageSetup orientation="portrait" r:id="rId38"/>
    </customSheetView>
    <customSheetView guid="{8AE5DC1D-6418-4E7E-9047-4387BCECBEA8}" state="hidden">
      <selection activeCell="A45" sqref="A45"/>
      <pageMargins left="0.7" right="0.7" top="0.75" bottom="0.75" header="0.3" footer="0.3"/>
      <pageSetup orientation="portrait" r:id="rId39"/>
    </customSheetView>
    <customSheetView guid="{FAE41C2C-8F5E-482D-A33B-233421D5EBE5}" state="hidden">
      <selection activeCell="A43" sqref="A43"/>
      <pageMargins left="0.7" right="0.7" top="0.75" bottom="0.75" header="0.3" footer="0.3"/>
      <pageSetup orientation="portrait" r:id="rId40"/>
    </customSheetView>
    <customSheetView guid="{FD51856D-CE67-4387-B8D5-42611AFDA9B0}" state="hidden">
      <selection activeCell="A34" sqref="A34"/>
      <pageMargins left="0.7" right="0.7" top="0.75" bottom="0.75" header="0.3" footer="0.3"/>
      <pageSetup orientation="portrait" r:id="rId41"/>
    </customSheetView>
    <customSheetView guid="{CF7B7343-8A34-41AA-AFB0-7C5A81B6D93C}" state="hidden">
      <selection activeCell="A39" sqref="A39"/>
      <pageMargins left="0.7" right="0.7" top="0.75" bottom="0.75" header="0.3" footer="0.3"/>
      <pageSetup orientation="portrait" r:id="rId42"/>
    </customSheetView>
    <customSheetView guid="{61C04BB9-0063-4A28-A7A2-777D52B5EECB}" state="hidden">
      <selection activeCell="A41" sqref="A41"/>
      <pageMargins left="0.7" right="0.7" top="0.75" bottom="0.75" header="0.3" footer="0.3"/>
      <pageSetup orientation="portrait" r:id="rId43"/>
    </customSheetView>
    <customSheetView guid="{22AEA148-E8A5-40EF-8118-4B1A6BF2CF05}" state="hidden">
      <selection activeCell="A44" sqref="A44"/>
      <pageMargins left="0.7" right="0.7" top="0.75" bottom="0.75" header="0.3" footer="0.3"/>
      <pageSetup orientation="portrait" r:id="rId44"/>
    </customSheetView>
    <customSheetView guid="{A6A034B2-E4EE-44C3-9105-8CD3B92F7439}" state="hidden">
      <selection activeCell="A46" sqref="A46"/>
      <pageMargins left="0.7" right="0.7" top="0.75" bottom="0.75" header="0.3" footer="0.3"/>
      <pageSetup orientation="portrait" r:id="rId45"/>
    </customSheetView>
    <customSheetView guid="{F26A0CC0-C3E5-4290-8FB8-33E4818FAFA9}" state="hidden">
      <selection activeCell="A48" sqref="A48"/>
      <pageMargins left="0.7" right="0.7" top="0.75" bottom="0.75" header="0.3" footer="0.3"/>
      <pageSetup orientation="portrait" r:id="rId46"/>
    </customSheetView>
    <customSheetView guid="{24B300B1-6A38-42E2-8023-0C89A4ED1C54}" state="hidden">
      <selection activeCell="A50" sqref="A50"/>
      <pageMargins left="0.7" right="0.7" top="0.75" bottom="0.75" header="0.3" footer="0.3"/>
      <pageSetup orientation="portrait" r:id="rId47"/>
    </customSheetView>
    <customSheetView guid="{C50F172B-DE12-4016-8C3C-8DE68B0F5ED6}" state="hidden">
      <selection activeCell="A53" sqref="A53"/>
      <pageMargins left="0.7" right="0.7" top="0.75" bottom="0.75" header="0.3" footer="0.3"/>
      <pageSetup orientation="portrait" r:id="rId48"/>
    </customSheetView>
    <customSheetView guid="{AA0C715F-89E0-4699-81F4-30981CCB8F32}" state="hidden">
      <selection activeCell="A57" sqref="A57"/>
      <pageMargins left="0.7" right="0.7" top="0.75" bottom="0.75" header="0.3" footer="0.3"/>
      <pageSetup orientation="portrait" r:id="rId49"/>
    </customSheetView>
    <customSheetView guid="{9AD3C96E-4159-4B4E-BFBB-F2A50B674DB7}" state="hidden">
      <selection activeCell="A61" sqref="A61"/>
      <pageMargins left="0.7" right="0.7" top="0.75" bottom="0.75" header="0.3" footer="0.3"/>
      <pageSetup orientation="portrait" r:id="rId50"/>
    </customSheetView>
    <customSheetView guid="{100C18DA-74BF-4919-BAFC-58F4A195D60D}" state="hidden">
      <selection activeCell="A62" sqref="A62"/>
      <pageMargins left="0.7" right="0.7" top="0.75" bottom="0.75" header="0.3" footer="0.3"/>
      <pageSetup orientation="portrait" r:id="rId51"/>
    </customSheetView>
    <customSheetView guid="{73AD7C60-27F8-4EDD-9CDE-F4986F1F3DF5}" state="hidden">
      <selection activeCell="A68" sqref="A68"/>
      <pageMargins left="0.7" right="0.7" top="0.75" bottom="0.75" header="0.3" footer="0.3"/>
      <pageSetup orientation="portrait" r:id="rId52"/>
    </customSheetView>
    <customSheetView guid="{8D8494A9-A845-41DF-958C-BBE2AFF72415}" state="hidden">
      <selection activeCell="A70" sqref="A70"/>
      <pageMargins left="0.7" right="0.7" top="0.75" bottom="0.75" header="0.3" footer="0.3"/>
      <pageSetup orientation="portrait" r:id="rId53"/>
    </customSheetView>
    <customSheetView guid="{F76F6C4A-CFD3-4162-959C-931E58DB91DD}" state="hidden">
      <selection activeCell="A106" sqref="A106"/>
      <pageMargins left="0.7" right="0.7" top="0.75" bottom="0.75" header="0.3" footer="0.3"/>
      <pageSetup orientation="portrait" r:id="rId54"/>
    </customSheetView>
    <customSheetView guid="{76AE1ECF-EF55-4C45-BE7F-8C1F1C37D61D}" state="hidden">
      <selection activeCell="A108" sqref="A108"/>
      <pageMargins left="0.7" right="0.7" top="0.75" bottom="0.75" header="0.3" footer="0.3"/>
      <pageSetup orientation="portrait" r:id="rId55"/>
    </customSheetView>
    <customSheetView guid="{958A2E22-7DDF-4130-9036-6DE04B671E46}" state="hidden">
      <selection activeCell="A112" sqref="A112"/>
      <pageMargins left="0.7" right="0.7" top="0.75" bottom="0.75" header="0.3" footer="0.3"/>
      <pageSetup orientation="portrait" r:id="rId56"/>
    </customSheetView>
    <customSheetView guid="{1374EB63-615D-4348-B087-7EEA761431C1}" state="hidden">
      <selection activeCell="A114" sqref="A114"/>
      <pageMargins left="0.7" right="0.7" top="0.75" bottom="0.75" header="0.3" footer="0.3"/>
      <pageSetup orientation="portrait" r:id="rId57"/>
    </customSheetView>
    <customSheetView guid="{8A7D4B6B-F7A3-4247-9F47-923F87E74DC1}" state="hidden">
      <selection activeCell="A116" sqref="A116"/>
      <pageMargins left="0.7" right="0.7" top="0.75" bottom="0.75" header="0.3" footer="0.3"/>
      <pageSetup orientation="portrait" r:id="rId58"/>
    </customSheetView>
    <customSheetView guid="{E20C6574-2004-417C-93FD-7F6F3A7C1AD4}" state="hidden">
      <selection activeCell="A121" sqref="A121"/>
      <pageMargins left="0.7" right="0.7" top="0.75" bottom="0.75" header="0.3" footer="0.3"/>
      <pageSetup orientation="portrait" r:id="rId59"/>
    </customSheetView>
    <customSheetView guid="{C199E203-52E1-47B1-9E01-E98E2F0440B2}" state="hidden">
      <selection activeCell="A124" sqref="A124"/>
      <pageMargins left="0.7" right="0.7" top="0.75" bottom="0.75" header="0.3" footer="0.3"/>
      <pageSetup orientation="portrait" r:id="rId60"/>
    </customSheetView>
    <customSheetView guid="{19394946-6A4D-40F0-8132-56019E2CBF47}" state="hidden">
      <selection activeCell="A128" sqref="A128"/>
      <pageMargins left="0.7" right="0.7" top="0.75" bottom="0.75" header="0.3" footer="0.3"/>
      <pageSetup orientation="portrait" r:id="rId61"/>
    </customSheetView>
  </customSheetViews>
  <mergeCells count="2">
    <mergeCell ref="L1:O1"/>
    <mergeCell ref="G1:I1"/>
  </mergeCells>
  <conditionalFormatting sqref="D1:D1048576">
    <cfRule type="duplicateValues" dxfId="0" priority="3"/>
  </conditionalFormatting>
  <conditionalFormatting sqref="O3:O16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{E7E8A012-785A-442B-BD64-477C614160B6}</x14:id>
        </ext>
      </extLst>
    </cfRule>
  </conditionalFormatting>
  <pageMargins left="0.7" right="0.7" top="0.75" bottom="0.75" header="0.3" footer="0.3"/>
  <pageSetup orientation="portrait" r:id="rId6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7E8A012-785A-442B-BD64-477C614160B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O3:O16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SAFETY VIDEO</vt:lpstr>
      <vt:lpstr>DATA RECORD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Jean Pierre Cespedes</dc:creator>
  <cp:lastModifiedBy>Jean Cespedes</cp:lastModifiedBy>
  <cp:lastPrinted>2021-05-18T02:01:50Z</cp:lastPrinted>
  <dcterms:created xsi:type="dcterms:W3CDTF">2021-05-14T03:46:07Z</dcterms:created>
  <dcterms:modified xsi:type="dcterms:W3CDTF">2022-03-04T01:33:43Z</dcterms:modified>
</cp:coreProperties>
</file>